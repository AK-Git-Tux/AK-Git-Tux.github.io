
<file path=[Content_Types].xml><?xml version="1.0" encoding="utf-8"?>
<Types xmlns="http://schemas.openxmlformats.org/package/2006/content-types">
  <Default Extension="docx" ContentType="application/vnd.openxmlformats-officedocument.wordprocessingml.document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997822/Downloads/"/>
    </mc:Choice>
  </mc:AlternateContent>
  <xr:revisionPtr revIDLastSave="0" documentId="13_ncr:1_{59F4DF2D-3A11-ED48-A6B0-7AA077E9EB6E}" xr6:coauthVersionLast="47" xr6:coauthVersionMax="47" xr10:uidLastSave="{00000000-0000-0000-0000-000000000000}"/>
  <bookViews>
    <workbookView xWindow="0" yWindow="500" windowWidth="28800" windowHeight="16360" activeTab="3" xr2:uid="{316FBA45-DAF0-7548-AAC6-82DED938C6AE}"/>
  </bookViews>
  <sheets>
    <sheet name="documentation" sheetId="2" r:id="rId1"/>
    <sheet name="overall" sheetId="1" r:id="rId2"/>
    <sheet name="scenario" sheetId="10" r:id="rId3"/>
    <sheet name="quarter_1" sheetId="3" r:id="rId4"/>
    <sheet name="quarter_2" sheetId="4" r:id="rId5"/>
    <sheet name="quarter_3" sheetId="8" r:id="rId6"/>
    <sheet name="quarter_4" sheetId="9" r:id="rId7"/>
    <sheet name="grading_legend" sheetId="7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0" i="1" l="1"/>
  <c r="C9" i="1"/>
  <c r="C9" i="10"/>
  <c r="L5" i="9"/>
  <c r="E8" i="10" s="1"/>
  <c r="I7" i="9"/>
  <c r="E6" i="10"/>
  <c r="E5" i="10"/>
  <c r="D5" i="10"/>
  <c r="D4" i="10"/>
  <c r="L5" i="3"/>
  <c r="C8" i="4"/>
  <c r="L5" i="8"/>
  <c r="D8" i="10" l="1"/>
  <c r="D3" i="10"/>
  <c r="E3" i="10"/>
  <c r="D6" i="10"/>
  <c r="E4" i="10"/>
  <c r="C8" i="9" l="1"/>
  <c r="F8" i="9"/>
  <c r="O4" i="9" s="1"/>
  <c r="O5" i="9"/>
  <c r="F10" i="8"/>
  <c r="O4" i="8" s="1"/>
  <c r="C10" i="8"/>
  <c r="O3" i="8" s="1"/>
  <c r="I7" i="8"/>
  <c r="O5" i="8" s="1"/>
  <c r="O6" i="8"/>
  <c r="F8" i="4"/>
  <c r="O4" i="4" s="1"/>
  <c r="I7" i="4"/>
  <c r="O5" i="4" s="1"/>
  <c r="L5" i="4"/>
  <c r="C10" i="3"/>
  <c r="O3" i="3" s="1"/>
  <c r="F10" i="3"/>
  <c r="O4" i="3" s="1"/>
  <c r="I7" i="3"/>
  <c r="O5" i="3" s="1"/>
  <c r="O6" i="4" l="1"/>
  <c r="C5" i="1"/>
  <c r="O6" i="9"/>
  <c r="C8" i="1"/>
  <c r="E8" i="1" s="1"/>
  <c r="O6" i="3"/>
  <c r="O7" i="3" s="1"/>
  <c r="C3" i="1" s="1"/>
  <c r="E3" i="1" s="1"/>
  <c r="O7" i="8"/>
  <c r="C6" i="1" s="1"/>
  <c r="O3" i="9"/>
  <c r="O7" i="9" s="1"/>
  <c r="O3" i="4"/>
  <c r="C7" i="1" l="1"/>
  <c r="E7" i="1" s="1"/>
  <c r="O7" i="4"/>
  <c r="C4" i="1" s="1"/>
  <c r="D10" i="1" s="1"/>
  <c r="C11" i="1" s="1"/>
  <c r="E5" i="1"/>
  <c r="D5" i="1"/>
  <c r="D7" i="1"/>
  <c r="D8" i="1"/>
  <c r="E6" i="1"/>
  <c r="D6" i="1"/>
  <c r="D3" i="1"/>
  <c r="E7" i="10" l="1"/>
  <c r="D7" i="10"/>
  <c r="E4" i="1"/>
  <c r="D4" i="1"/>
  <c r="D9" i="1"/>
  <c r="D9" i="10" l="1"/>
  <c r="C10" i="10"/>
  <c r="D10" i="10" s="1"/>
  <c r="C11" i="10" s="1"/>
</calcChain>
</file>

<file path=xl/sharedStrings.xml><?xml version="1.0" encoding="utf-8"?>
<sst xmlns="http://schemas.openxmlformats.org/spreadsheetml/2006/main" count="231" uniqueCount="111">
  <si>
    <t>Grade</t>
  </si>
  <si>
    <t>E</t>
  </si>
  <si>
    <t>D</t>
  </si>
  <si>
    <t>C</t>
  </si>
  <si>
    <t>B</t>
  </si>
  <si>
    <t>A</t>
  </si>
  <si>
    <t>Labs</t>
  </si>
  <si>
    <t>Exam</t>
  </si>
  <si>
    <t>Average Labs Grade</t>
  </si>
  <si>
    <t>Quiz 1</t>
  </si>
  <si>
    <t>Quiz 2</t>
  </si>
  <si>
    <t>Quiz 3</t>
  </si>
  <si>
    <t>Average Quiz Grade</t>
  </si>
  <si>
    <t>Quizzes</t>
  </si>
  <si>
    <t>Quality Points (DE)</t>
  </si>
  <si>
    <t>Average Exam Grade</t>
  </si>
  <si>
    <t>QP Average</t>
  </si>
  <si>
    <t>Letter Grade</t>
  </si>
  <si>
    <t>Calculated Total</t>
  </si>
  <si>
    <t>Exams</t>
  </si>
  <si>
    <t>Lab 1</t>
  </si>
  <si>
    <t>Lab 2</t>
  </si>
  <si>
    <t>Lab 3</t>
  </si>
  <si>
    <t>Lab 4</t>
  </si>
  <si>
    <t>Lab 5</t>
  </si>
  <si>
    <t>Lab 6</t>
  </si>
  <si>
    <t>Lab 7</t>
  </si>
  <si>
    <t>Quiz 4</t>
  </si>
  <si>
    <t>Exam 1</t>
  </si>
  <si>
    <t>Homework</t>
  </si>
  <si>
    <t>Homework 1</t>
  </si>
  <si>
    <t>Homework 2</t>
  </si>
  <si>
    <t>Homework 3</t>
  </si>
  <si>
    <t>Homework 4</t>
  </si>
  <si>
    <t>Homework 5</t>
  </si>
  <si>
    <t>Homework 6</t>
  </si>
  <si>
    <t>Homework 7</t>
  </si>
  <si>
    <t>Average Homework Grade</t>
  </si>
  <si>
    <t>Lab 8</t>
  </si>
  <si>
    <t>Lab 9</t>
  </si>
  <si>
    <t>Lab 10</t>
  </si>
  <si>
    <t>Lab 11</t>
  </si>
  <si>
    <t>Quiz 5</t>
  </si>
  <si>
    <t>Quiz 6</t>
  </si>
  <si>
    <t xml:space="preserve">Exam 2 </t>
  </si>
  <si>
    <t>Exam 3</t>
  </si>
  <si>
    <t>Exam 4</t>
  </si>
  <si>
    <t>Homework 8</t>
  </si>
  <si>
    <t>Homework 9</t>
  </si>
  <si>
    <t>Homework 10</t>
  </si>
  <si>
    <t>Homework 11</t>
  </si>
  <si>
    <t>Homework 12</t>
  </si>
  <si>
    <t>Lab 12</t>
  </si>
  <si>
    <t>Quiz 7</t>
  </si>
  <si>
    <t>Quiz 8</t>
  </si>
  <si>
    <t>Homework 13</t>
  </si>
  <si>
    <t>Homework 14</t>
  </si>
  <si>
    <t>Homework 15</t>
  </si>
  <si>
    <t>Homework 16</t>
  </si>
  <si>
    <t>Homework 17</t>
  </si>
  <si>
    <t>Homework 18</t>
  </si>
  <si>
    <t>Homework 19</t>
  </si>
  <si>
    <t>Lab 13</t>
  </si>
  <si>
    <t>Lab 14</t>
  </si>
  <si>
    <t>Lab 15</t>
  </si>
  <si>
    <t>Lab 16</t>
  </si>
  <si>
    <t>Lab 17</t>
  </si>
  <si>
    <t>Lab 18</t>
  </si>
  <si>
    <t>Lab 19</t>
  </si>
  <si>
    <t>Quiz 9</t>
  </si>
  <si>
    <t>Quiz 10</t>
  </si>
  <si>
    <t>Quiz 11</t>
  </si>
  <si>
    <t>Quiz 12</t>
  </si>
  <si>
    <t>Exam 5</t>
  </si>
  <si>
    <t>Exam 6</t>
  </si>
  <si>
    <t>Homework 20</t>
  </si>
  <si>
    <t>Homework 21</t>
  </si>
  <si>
    <t>Homework 22</t>
  </si>
  <si>
    <t>Homework 23</t>
  </si>
  <si>
    <t>Homework 24</t>
  </si>
  <si>
    <t>Lab 20</t>
  </si>
  <si>
    <t>Lab 21</t>
  </si>
  <si>
    <t>Lab 22</t>
  </si>
  <si>
    <t>Lab 23</t>
  </si>
  <si>
    <t>Lab 24</t>
  </si>
  <si>
    <t>Quiz 13</t>
  </si>
  <si>
    <t>Quiz 14</t>
  </si>
  <si>
    <t>Quiz 15</t>
  </si>
  <si>
    <t>Quiz 16</t>
  </si>
  <si>
    <t>Exam 7</t>
  </si>
  <si>
    <t>Exam 8</t>
  </si>
  <si>
    <t>Final Grades</t>
  </si>
  <si>
    <t>Q1</t>
  </si>
  <si>
    <t>Q2</t>
  </si>
  <si>
    <t>Q3</t>
  </si>
  <si>
    <t>Q4</t>
  </si>
  <si>
    <t>Sem 1 Exams</t>
  </si>
  <si>
    <t>Sem 2 Exams</t>
  </si>
  <si>
    <t>Final Year - Numeric</t>
  </si>
  <si>
    <t>Final Year - QP</t>
  </si>
  <si>
    <t>Official Final Grade</t>
  </si>
  <si>
    <t>Total</t>
  </si>
  <si>
    <t>Quality Points</t>
  </si>
  <si>
    <t>Final Grade Q1</t>
  </si>
  <si>
    <t>Final Grade Q2</t>
  </si>
  <si>
    <t>Final Grade Q3</t>
  </si>
  <si>
    <t>Final Grade Q4</t>
  </si>
  <si>
    <t>Start Grade</t>
  </si>
  <si>
    <t>End Grade</t>
  </si>
  <si>
    <t>Scenario: Fail all the homeworks and labs but lock in on quizzes and exams for every quarter</t>
  </si>
  <si>
    <t>There's no explicitly defined summative and formative assignments in the syllabus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</si>
</sst>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Aptos Narrow"/>
      <family val="2"/>
      <scheme val="minor"/>
    </font>
    <font>
      <b/>
      <sz val="18"/>
      <color theme="1"/>
      <name val="Aptos Narrow"/>
      <scheme val="minor"/>
    </font>
    <font>
      <sz val="18"/>
      <color theme="1"/>
      <name val="Aptos Narrow"/>
      <scheme val="minor"/>
    </font>
    <font>
      <sz val="18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9C0006"/>
      <name val="Aptos Narrow"/>
      <family val="2"/>
      <scheme val="minor"/>
    </font>
    <font>
      <b/>
      <sz val="16"/>
      <color theme="1"/>
      <name val="Aptos Narrow"/>
      <scheme val="minor"/>
    </font>
    <font>
      <b/>
      <sz val="14"/>
      <color theme="1"/>
      <name val="Aptos Narrow"/>
      <scheme val="minor"/>
    </font>
    <font>
      <sz val="14"/>
      <color theme="1"/>
      <name val="Aptos Narrow"/>
      <scheme val="minor"/>
    </font>
    <font>
      <b/>
      <sz val="14"/>
      <color rgb="FF000000"/>
      <name val="Aptos Narrow"/>
      <scheme val="minor"/>
    </font>
    <font>
      <sz val="14"/>
      <color rgb="FF000000"/>
      <name val="Aptos Narrow"/>
      <scheme val="minor"/>
    </font>
    <font>
      <sz val="12"/>
      <color rgb="FF000000"/>
      <name val="Aptos Narrow"/>
      <family val="2"/>
      <scheme val="minor"/>
    </font>
    <font>
      <b/>
      <sz val="16"/>
      <color theme="1"/>
      <name val="Aptos Narrow (Body)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4EA72E"/>
        <bgColor rgb="FF000000"/>
      </patternFill>
    </fill>
    <fill>
      <patternFill patternType="solid">
        <fgColor rgb="FFFFC7CE"/>
        <bgColor rgb="FF000000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2" fillId="0" borderId="5" xfId="0" applyFont="1" applyBorder="1"/>
    <xf numFmtId="0" fontId="2" fillId="0" borderId="7" xfId="0" applyFont="1" applyBorder="1"/>
    <xf numFmtId="0" fontId="2" fillId="0" borderId="8" xfId="0" applyFont="1" applyBorder="1"/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0" fontId="3" fillId="0" borderId="8" xfId="0" applyFont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8" xfId="0" applyBorder="1"/>
    <xf numFmtId="2" fontId="0" fillId="0" borderId="5" xfId="0" applyNumberFormat="1" applyBorder="1"/>
    <xf numFmtId="2" fontId="0" fillId="0" borderId="8" xfId="0" applyNumberFormat="1" applyBorder="1"/>
    <xf numFmtId="0" fontId="2" fillId="0" borderId="0" xfId="0" applyNumberFormat="1" applyFont="1" applyBorder="1"/>
    <xf numFmtId="0" fontId="2" fillId="0" borderId="0" xfId="0" applyFont="1" applyBorder="1"/>
    <xf numFmtId="0" fontId="0" fillId="0" borderId="0" xfId="0" applyBorder="1"/>
    <xf numFmtId="0" fontId="6" fillId="2" borderId="1" xfId="0" applyFont="1" applyFill="1" applyBorder="1"/>
    <xf numFmtId="0" fontId="7" fillId="2" borderId="1" xfId="0" applyFont="1" applyFill="1" applyBorder="1"/>
    <xf numFmtId="0" fontId="7" fillId="2" borderId="3" xfId="0" applyFont="1" applyFill="1" applyBorder="1"/>
    <xf numFmtId="0" fontId="8" fillId="0" borderId="0" xfId="0" applyFont="1"/>
    <xf numFmtId="2" fontId="0" fillId="0" borderId="0" xfId="0" applyNumberFormat="1" applyBorder="1"/>
    <xf numFmtId="0" fontId="0" fillId="0" borderId="7" xfId="0" applyBorder="1"/>
    <xf numFmtId="0" fontId="6" fillId="2" borderId="2" xfId="0" applyFont="1" applyFill="1" applyBorder="1"/>
    <xf numFmtId="0" fontId="6" fillId="2" borderId="3" xfId="0" applyFont="1" applyFill="1" applyBorder="1"/>
    <xf numFmtId="0" fontId="9" fillId="3" borderId="1" xfId="0" applyFont="1" applyFill="1" applyBorder="1"/>
    <xf numFmtId="0" fontId="9" fillId="3" borderId="3" xfId="0" applyFont="1" applyFill="1" applyBorder="1"/>
    <xf numFmtId="0" fontId="10" fillId="0" borderId="0" xfId="0" applyFont="1"/>
    <xf numFmtId="0" fontId="11" fillId="0" borderId="4" xfId="0" applyFont="1" applyBorder="1"/>
    <xf numFmtId="0" fontId="5" fillId="4" borderId="5" xfId="0" applyFont="1" applyFill="1" applyBorder="1"/>
    <xf numFmtId="0" fontId="11" fillId="0" borderId="0" xfId="0" applyFont="1"/>
    <xf numFmtId="0" fontId="11" fillId="0" borderId="5" xfId="0" applyFont="1" applyBorder="1"/>
    <xf numFmtId="2" fontId="5" fillId="4" borderId="5" xfId="0" applyNumberFormat="1" applyFont="1" applyFill="1" applyBorder="1"/>
    <xf numFmtId="0" fontId="11" fillId="0" borderId="6" xfId="0" applyFont="1" applyBorder="1"/>
    <xf numFmtId="0" fontId="11" fillId="0" borderId="8" xfId="0" applyFont="1" applyBorder="1"/>
    <xf numFmtId="2" fontId="11" fillId="0" borderId="5" xfId="0" applyNumberFormat="1" applyFont="1" applyBorder="1"/>
    <xf numFmtId="2" fontId="11" fillId="0" borderId="8" xfId="0" applyNumberFormat="1" applyFont="1" applyBorder="1"/>
    <xf numFmtId="0" fontId="5" fillId="4" borderId="8" xfId="0" applyFont="1" applyFill="1" applyBorder="1"/>
    <xf numFmtId="0" fontId="12" fillId="0" borderId="0" xfId="0" applyFont="1"/>
  </cellXfs>
  <cellStyles count="1">
    <cellStyle name="Normal" xfId="0" builtinId="0"/>
  </cellStyles>
  <dxfs count="2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177800</xdr:colOff>
          <xdr:row>1</xdr:row>
          <xdr:rowOff>76200</xdr:rowOff>
        </xdr:from>
        <xdr:to>
          <xdr:col>7</xdr:col>
          <xdr:colOff>342900</xdr:colOff>
          <xdr:row>31</xdr:row>
          <xdr:rowOff>76200</xdr:rowOff>
        </xdr:to>
        <xdr:sp macro="" textlink="">
          <xdr:nvSpPr>
            <xdr:cNvPr id="2049" name="Object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0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8</xdr:col>
      <xdr:colOff>596900</xdr:colOff>
      <xdr:row>3</xdr:row>
      <xdr:rowOff>50800</xdr:rowOff>
    </xdr:from>
    <xdr:to>
      <xdr:col>14</xdr:col>
      <xdr:colOff>342900</xdr:colOff>
      <xdr:row>13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BC2BC4E-BACF-B4AB-9E2C-CF092FF705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00900" y="660400"/>
          <a:ext cx="4699000" cy="1981200"/>
        </a:xfrm>
        <a:prstGeom prst="rect">
          <a:avLst/>
        </a:prstGeom>
      </xdr:spPr>
    </xdr:pic>
    <xdr:clientData/>
  </xdr:twoCellAnchor>
  <xdr:twoCellAnchor editAs="oneCell">
    <xdr:from>
      <xdr:col>7</xdr:col>
      <xdr:colOff>558800</xdr:colOff>
      <xdr:row>15</xdr:row>
      <xdr:rowOff>38100</xdr:rowOff>
    </xdr:from>
    <xdr:to>
      <xdr:col>17</xdr:col>
      <xdr:colOff>76200</xdr:colOff>
      <xdr:row>25</xdr:row>
      <xdr:rowOff>200802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8E409E8-42B1-B153-53D4-4DB1C6E88E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37300" y="3086100"/>
          <a:ext cx="7772400" cy="21947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ackage" Target="../embeddings/Microsoft_Word_Document.docx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531D4-4174-954A-9F3A-54A71D99C7A6}">
  <dimension ref="I30"/>
  <sheetViews>
    <sheetView topLeftCell="H15" zoomScale="239" workbookViewId="0">
      <selection activeCell="S28" sqref="S28"/>
    </sheetView>
  </sheetViews>
  <sheetFormatPr baseColWidth="10" defaultRowHeight="16" x14ac:dyDescent="0.2"/>
  <sheetData>
    <row r="30" spans="9:9" ht="22" x14ac:dyDescent="0.3">
      <c r="I30" s="41" t="s">
        <v>110</v>
      </c>
    </row>
  </sheetData>
  <pageMargins left="0.7" right="0.7" top="0.75" bottom="0.75" header="0.3" footer="0.3"/>
  <pageSetup orientation="portrait" horizontalDpi="0" verticalDpi="0"/>
  <drawing r:id="rId1"/>
  <legacyDrawing r:id="rId2"/>
  <oleObjects>
    <mc:AlternateContent xmlns:mc="http://schemas.openxmlformats.org/markup-compatibility/2006">
      <mc:Choice Requires="x14">
        <oleObject progId="Word.Document.12" shapeId="2049" r:id="rId3">
          <objectPr defaultSize="0" r:id="rId4">
            <anchor moveWithCells="1">
              <from>
                <xdr:col>0</xdr:col>
                <xdr:colOff>177800</xdr:colOff>
                <xdr:row>1</xdr:row>
                <xdr:rowOff>76200</xdr:rowOff>
              </from>
              <to>
                <xdr:col>7</xdr:col>
                <xdr:colOff>342900</xdr:colOff>
                <xdr:row>31</xdr:row>
                <xdr:rowOff>76200</xdr:rowOff>
              </to>
            </anchor>
          </objectPr>
        </oleObject>
      </mc:Choice>
      <mc:Fallback>
        <oleObject progId="Word.Document.12" shapeId="2049" r:id="rId3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9D51C-92C1-6A46-8FB8-A0D9E7A8114B}">
  <dimension ref="B1:E11"/>
  <sheetViews>
    <sheetView zoomScale="187" workbookViewId="0">
      <selection activeCell="C11" sqref="C11"/>
    </sheetView>
  </sheetViews>
  <sheetFormatPr baseColWidth="10" defaultRowHeight="16" x14ac:dyDescent="0.2"/>
  <cols>
    <col min="2" max="2" width="17.33203125" customWidth="1"/>
    <col min="4" max="4" width="15.33203125" customWidth="1"/>
    <col min="5" max="5" width="16.33203125" customWidth="1"/>
    <col min="8" max="8" width="10.83203125" customWidth="1"/>
    <col min="11" max="11" width="10.83203125" customWidth="1"/>
    <col min="14" max="14" width="10.83203125" customWidth="1"/>
    <col min="17" max="17" width="10.83203125" customWidth="1"/>
    <col min="20" max="20" width="10.83203125" customWidth="1"/>
  </cols>
  <sheetData>
    <row r="1" spans="2:5" ht="17" thickBot="1" x14ac:dyDescent="0.25"/>
    <row r="2" spans="2:5" ht="22" x14ac:dyDescent="0.3">
      <c r="B2" s="20" t="s">
        <v>91</v>
      </c>
      <c r="C2" s="26" t="s">
        <v>101</v>
      </c>
      <c r="D2" s="26" t="s">
        <v>17</v>
      </c>
      <c r="E2" s="27" t="s">
        <v>102</v>
      </c>
    </row>
    <row r="3" spans="2:5" x14ac:dyDescent="0.2">
      <c r="B3" s="11" t="s">
        <v>92</v>
      </c>
      <c r="C3" s="24">
        <f>quarter_1!O7</f>
        <v>91.614285714285714</v>
      </c>
      <c r="D3" s="19" t="str">
        <f>VLOOKUP(C3, grading_legend!$B$3:$E$7, 3, TRUE)</f>
        <v>A</v>
      </c>
      <c r="E3" s="12">
        <f>VLOOKUP(C3, grading_legend!$B$3:$E$7, 4, TRUE)</f>
        <v>4</v>
      </c>
    </row>
    <row r="4" spans="2:5" x14ac:dyDescent="0.2">
      <c r="B4" s="11" t="s">
        <v>93</v>
      </c>
      <c r="C4" s="24">
        <f>quarter_2!O7</f>
        <v>87.5</v>
      </c>
      <c r="D4" s="19" t="str">
        <f>VLOOKUP(C4, grading_legend!$B$3:$E$7, 3, TRUE)</f>
        <v>B</v>
      </c>
      <c r="E4" s="12">
        <f>VLOOKUP(C4, grading_legend!$B$3:$E$7, 4, TRUE)</f>
        <v>3</v>
      </c>
    </row>
    <row r="5" spans="2:5" x14ac:dyDescent="0.2">
      <c r="B5" s="11" t="s">
        <v>96</v>
      </c>
      <c r="C5" s="19">
        <f>AVERAGE(quarter_1!L5,quarter_2!L5)</f>
        <v>100</v>
      </c>
      <c r="D5" s="19" t="str">
        <f>VLOOKUP(C5, grading_legend!$B$3:$E$7, 3, TRUE)</f>
        <v>A</v>
      </c>
      <c r="E5" s="12">
        <f>VLOOKUP(C5, grading_legend!$B$3:$E$7, 4, TRUE)</f>
        <v>4</v>
      </c>
    </row>
    <row r="6" spans="2:5" x14ac:dyDescent="0.2">
      <c r="B6" s="11" t="s">
        <v>94</v>
      </c>
      <c r="C6" s="24">
        <f>quarter_3!O7</f>
        <v>90.685714285714283</v>
      </c>
      <c r="D6" s="19" t="str">
        <f>VLOOKUP(C6, grading_legend!$B$3:$E$7, 3, TRUE)</f>
        <v>A</v>
      </c>
      <c r="E6" s="12">
        <f>VLOOKUP(C6, grading_legend!$B$3:$E$7, 4, TRUE)</f>
        <v>4</v>
      </c>
    </row>
    <row r="7" spans="2:5" x14ac:dyDescent="0.2">
      <c r="B7" s="11" t="s">
        <v>95</v>
      </c>
      <c r="C7" s="24">
        <f>quarter_4!O7</f>
        <v>87.9</v>
      </c>
      <c r="D7" s="19" t="str">
        <f>VLOOKUP(C7, grading_legend!$B$3:$E$7, 3, TRUE)</f>
        <v>B</v>
      </c>
      <c r="E7" s="12">
        <f>VLOOKUP(C7, grading_legend!$B$3:$E$7, 4, TRUE)</f>
        <v>3</v>
      </c>
    </row>
    <row r="8" spans="2:5" x14ac:dyDescent="0.2">
      <c r="B8" s="11" t="s">
        <v>97</v>
      </c>
      <c r="C8" s="19">
        <f>AVERAGE(quarter_3!L5,quarter_4!L5)</f>
        <v>100</v>
      </c>
      <c r="D8" s="19" t="str">
        <f>VLOOKUP(C8, grading_legend!$B$3:$E$7, 3, TRUE)</f>
        <v>A</v>
      </c>
      <c r="E8" s="12">
        <f>VLOOKUP(C8, grading_legend!$B$3:$E$7, 4, TRUE)</f>
        <v>4</v>
      </c>
    </row>
    <row r="9" spans="2:5" x14ac:dyDescent="0.2">
      <c r="B9" s="11" t="s">
        <v>98</v>
      </c>
      <c r="C9" s="24">
        <f>0.8*AVERAGE(C3,C4,C6,C7) + 0.2*AVERAGE(C5,C8)</f>
        <v>91.539999999999992</v>
      </c>
      <c r="D9" s="19" t="str">
        <f>VLOOKUP(C9, grading_legend!$B$3:$E$7, 3, TRUE)</f>
        <v>A</v>
      </c>
      <c r="E9" s="12"/>
    </row>
    <row r="10" spans="2:5" x14ac:dyDescent="0.2">
      <c r="B10" s="11" t="s">
        <v>99</v>
      </c>
      <c r="C10" s="19">
        <f>VLOOKUP(C9, grading_legend!$B$3:$G$7, 6, TRUE)</f>
        <v>3.5</v>
      </c>
      <c r="D10" s="19" t="str">
        <f>VLOOKUP(C10, grading_legend!$G$3:$H$7, 2, TRUE)</f>
        <v>A</v>
      </c>
      <c r="E10" s="12"/>
    </row>
    <row r="11" spans="2:5" ht="17" thickBot="1" x14ac:dyDescent="0.25">
      <c r="B11" s="13" t="s">
        <v>100</v>
      </c>
      <c r="C11" s="25" t="str">
        <f>D10</f>
        <v>A</v>
      </c>
      <c r="D11" s="25"/>
      <c r="E11" s="14"/>
    </row>
  </sheetData>
  <conditionalFormatting sqref="C3:C9">
    <cfRule type="cellIs" dxfId="10" priority="1" operator="lessThan">
      <formula>75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EEEFD-F47D-594A-9D11-82F7D920307F}">
  <dimension ref="B1:T14"/>
  <sheetViews>
    <sheetView zoomScale="75" workbookViewId="0">
      <selection activeCell="C9" sqref="C9"/>
    </sheetView>
  </sheetViews>
  <sheetFormatPr baseColWidth="10" defaultRowHeight="16" x14ac:dyDescent="0.2"/>
  <cols>
    <col min="2" max="2" width="17.83203125" customWidth="1"/>
    <col min="3" max="3" width="11.6640625" customWidth="1"/>
    <col min="4" max="4" width="14.83203125" customWidth="1"/>
    <col min="5" max="5" width="17.5" customWidth="1"/>
    <col min="7" max="7" width="22.1640625" customWidth="1"/>
    <col min="10" max="10" width="17.1640625" customWidth="1"/>
    <col min="13" max="13" width="17.1640625" customWidth="1"/>
    <col min="16" max="16" width="17.6640625" customWidth="1"/>
    <col min="19" max="19" width="13.6640625" customWidth="1"/>
  </cols>
  <sheetData>
    <row r="1" spans="2:20" ht="17" thickBot="1" x14ac:dyDescent="0.25"/>
    <row r="2" spans="2:20" ht="22" x14ac:dyDescent="0.3">
      <c r="B2" s="20" t="s">
        <v>91</v>
      </c>
      <c r="C2" s="26" t="s">
        <v>101</v>
      </c>
      <c r="D2" s="26" t="s">
        <v>17</v>
      </c>
      <c r="E2" s="27" t="s">
        <v>102</v>
      </c>
      <c r="G2" s="28" t="s">
        <v>29</v>
      </c>
      <c r="H2" s="29" t="s">
        <v>0</v>
      </c>
      <c r="I2" s="30"/>
      <c r="J2" s="28" t="s">
        <v>6</v>
      </c>
      <c r="K2" s="29" t="s">
        <v>0</v>
      </c>
      <c r="L2" s="30"/>
      <c r="M2" s="28" t="s">
        <v>13</v>
      </c>
      <c r="N2" s="29" t="s">
        <v>0</v>
      </c>
      <c r="O2" s="30"/>
      <c r="P2" s="28" t="s">
        <v>7</v>
      </c>
      <c r="Q2" s="29" t="s">
        <v>0</v>
      </c>
      <c r="R2" s="30"/>
      <c r="S2" s="28" t="s">
        <v>18</v>
      </c>
      <c r="T2" s="29" t="s">
        <v>0</v>
      </c>
    </row>
    <row r="3" spans="2:20" x14ac:dyDescent="0.2">
      <c r="B3" s="11" t="s">
        <v>92</v>
      </c>
      <c r="C3" s="24">
        <v>87.5</v>
      </c>
      <c r="D3" s="19" t="str">
        <f>VLOOKUP(C3, grading_legend!$B$3:$E$7, 3, TRUE)</f>
        <v>B</v>
      </c>
      <c r="E3" s="12">
        <f>VLOOKUP(C3, grading_legend!$B$3:$E$7, 4, TRUE)</f>
        <v>3</v>
      </c>
      <c r="G3" s="31" t="s">
        <v>30</v>
      </c>
      <c r="H3" s="32">
        <v>50</v>
      </c>
      <c r="I3" s="33"/>
      <c r="J3" s="31" t="s">
        <v>20</v>
      </c>
      <c r="K3" s="32">
        <v>50</v>
      </c>
      <c r="L3" s="33"/>
      <c r="M3" s="31" t="s">
        <v>9</v>
      </c>
      <c r="N3" s="34">
        <v>100</v>
      </c>
      <c r="O3" s="33"/>
      <c r="P3" s="31" t="s">
        <v>28</v>
      </c>
      <c r="Q3" s="34">
        <v>100</v>
      </c>
      <c r="R3" s="33"/>
      <c r="S3" s="31" t="s">
        <v>29</v>
      </c>
      <c r="T3" s="32">
        <v>50</v>
      </c>
    </row>
    <row r="4" spans="2:20" x14ac:dyDescent="0.2">
      <c r="B4" s="11" t="s">
        <v>93</v>
      </c>
      <c r="C4" s="24">
        <v>87.5</v>
      </c>
      <c r="D4" s="19" t="str">
        <f>VLOOKUP(C4, grading_legend!$B$3:$E$7, 3, TRUE)</f>
        <v>B</v>
      </c>
      <c r="E4" s="12">
        <f>VLOOKUP(C4, grading_legend!$B$3:$E$7, 4, TRUE)</f>
        <v>3</v>
      </c>
      <c r="G4" s="31" t="s">
        <v>31</v>
      </c>
      <c r="H4" s="32">
        <v>50</v>
      </c>
      <c r="I4" s="33"/>
      <c r="J4" s="31" t="s">
        <v>21</v>
      </c>
      <c r="K4" s="32">
        <v>50</v>
      </c>
      <c r="L4" s="33"/>
      <c r="M4" s="31" t="s">
        <v>10</v>
      </c>
      <c r="N4" s="34">
        <v>100</v>
      </c>
      <c r="O4" s="33"/>
      <c r="P4" s="31" t="s">
        <v>44</v>
      </c>
      <c r="Q4" s="34">
        <v>100</v>
      </c>
      <c r="R4" s="33"/>
      <c r="S4" s="31" t="s">
        <v>6</v>
      </c>
      <c r="T4" s="35">
        <v>50</v>
      </c>
    </row>
    <row r="5" spans="2:20" ht="17" thickBot="1" x14ac:dyDescent="0.25">
      <c r="B5" s="11" t="s">
        <v>96</v>
      </c>
      <c r="C5" s="19">
        <v>100</v>
      </c>
      <c r="D5" s="19" t="str">
        <f>VLOOKUP(C5, grading_legend!$B$3:$E$7, 3, TRUE)</f>
        <v>A</v>
      </c>
      <c r="E5" s="12">
        <f>VLOOKUP(C5, grading_legend!$B$3:$E$7, 4, TRUE)</f>
        <v>4</v>
      </c>
      <c r="G5" s="31" t="s">
        <v>32</v>
      </c>
      <c r="H5" s="32">
        <v>50</v>
      </c>
      <c r="I5" s="33"/>
      <c r="J5" s="31" t="s">
        <v>22</v>
      </c>
      <c r="K5" s="32">
        <v>50</v>
      </c>
      <c r="L5" s="33"/>
      <c r="M5" s="31" t="s">
        <v>11</v>
      </c>
      <c r="N5" s="34">
        <v>100</v>
      </c>
      <c r="O5" s="33"/>
      <c r="P5" s="36" t="s">
        <v>15</v>
      </c>
      <c r="Q5" s="37">
        <v>100</v>
      </c>
      <c r="R5" s="33"/>
      <c r="S5" s="31" t="s">
        <v>13</v>
      </c>
      <c r="T5" s="38">
        <v>100</v>
      </c>
    </row>
    <row r="6" spans="2:20" x14ac:dyDescent="0.2">
      <c r="B6" s="11" t="s">
        <v>94</v>
      </c>
      <c r="C6" s="24">
        <v>87.5</v>
      </c>
      <c r="D6" s="19" t="str">
        <f>VLOOKUP(C6, grading_legend!$B$3:$E$7, 3, TRUE)</f>
        <v>B</v>
      </c>
      <c r="E6" s="12">
        <f>VLOOKUP(C6, grading_legend!$B$3:$E$7, 4, TRUE)</f>
        <v>3</v>
      </c>
      <c r="G6" s="31" t="s">
        <v>33</v>
      </c>
      <c r="H6" s="32">
        <v>50</v>
      </c>
      <c r="I6" s="33"/>
      <c r="J6" s="31" t="s">
        <v>23</v>
      </c>
      <c r="K6" s="32">
        <v>50</v>
      </c>
      <c r="L6" s="33"/>
      <c r="M6" s="31" t="s">
        <v>27</v>
      </c>
      <c r="N6" s="34">
        <v>100</v>
      </c>
      <c r="O6" s="33"/>
      <c r="P6" s="33"/>
      <c r="Q6" s="33"/>
      <c r="R6" s="33"/>
      <c r="S6" s="31" t="s">
        <v>19</v>
      </c>
      <c r="T6" s="38">
        <v>100</v>
      </c>
    </row>
    <row r="7" spans="2:20" ht="17" thickBot="1" x14ac:dyDescent="0.25">
      <c r="B7" s="11" t="s">
        <v>95</v>
      </c>
      <c r="C7" s="24">
        <v>87.5</v>
      </c>
      <c r="D7" s="19" t="str">
        <f>VLOOKUP(C7, grading_legend!$B$3:$E$7, 3, TRUE)</f>
        <v>B</v>
      </c>
      <c r="E7" s="12">
        <f>VLOOKUP(C7, grading_legend!$B$3:$E$7, 4, TRUE)</f>
        <v>3</v>
      </c>
      <c r="G7" s="31" t="s">
        <v>34</v>
      </c>
      <c r="H7" s="32">
        <v>50</v>
      </c>
      <c r="I7" s="33"/>
      <c r="J7" s="31" t="s">
        <v>24</v>
      </c>
      <c r="K7" s="32">
        <v>50</v>
      </c>
      <c r="L7" s="33"/>
      <c r="M7" s="36" t="s">
        <v>12</v>
      </c>
      <c r="N7" s="37">
        <v>100</v>
      </c>
      <c r="O7" s="33"/>
      <c r="P7" s="33"/>
      <c r="Q7" s="33"/>
      <c r="R7" s="33"/>
      <c r="S7" s="36" t="s">
        <v>103</v>
      </c>
      <c r="T7" s="39">
        <v>87.5</v>
      </c>
    </row>
    <row r="8" spans="2:20" x14ac:dyDescent="0.2">
      <c r="B8" s="11" t="s">
        <v>97</v>
      </c>
      <c r="C8" s="19">
        <v>100</v>
      </c>
      <c r="D8" s="19" t="str">
        <f>VLOOKUP(C8, grading_legend!$B$3:$E$7, 3, TRUE)</f>
        <v>A</v>
      </c>
      <c r="E8" s="12">
        <f>VLOOKUP(C8, grading_legend!$B$3:$E$7, 4, TRUE)</f>
        <v>4</v>
      </c>
      <c r="G8" s="31" t="s">
        <v>35</v>
      </c>
      <c r="H8" s="32">
        <v>50</v>
      </c>
      <c r="I8" s="33"/>
      <c r="J8" s="31" t="s">
        <v>25</v>
      </c>
      <c r="K8" s="32">
        <v>50</v>
      </c>
      <c r="L8" s="33"/>
      <c r="M8" s="33"/>
      <c r="N8" s="33"/>
      <c r="O8" s="33"/>
      <c r="P8" s="33"/>
      <c r="Q8" s="33"/>
      <c r="R8" s="33"/>
      <c r="S8" s="33"/>
      <c r="T8" s="33"/>
    </row>
    <row r="9" spans="2:20" x14ac:dyDescent="0.2">
      <c r="B9" s="11" t="s">
        <v>98</v>
      </c>
      <c r="C9" s="24">
        <f>0.8*AVERAGE(C3,C4,C6,C7) + 0.2*AVERAGE(C5,C8)</f>
        <v>90</v>
      </c>
      <c r="D9" s="19" t="str">
        <f>VLOOKUP(C9, grading_legend!$B$3:$E$7, 3, TRUE)</f>
        <v>A</v>
      </c>
      <c r="E9" s="12"/>
      <c r="G9" s="31" t="s">
        <v>36</v>
      </c>
      <c r="H9" s="32">
        <v>50</v>
      </c>
      <c r="I9" s="33"/>
      <c r="J9" s="31" t="s">
        <v>26</v>
      </c>
      <c r="K9" s="32">
        <v>50</v>
      </c>
      <c r="L9" s="33"/>
      <c r="M9" s="33"/>
      <c r="N9" s="33"/>
      <c r="O9" s="33"/>
      <c r="P9" s="33"/>
      <c r="Q9" s="33"/>
      <c r="R9" s="33"/>
      <c r="S9" s="33"/>
      <c r="T9" s="33"/>
    </row>
    <row r="10" spans="2:20" ht="17" thickBot="1" x14ac:dyDescent="0.25">
      <c r="B10" s="11" t="s">
        <v>99</v>
      </c>
      <c r="C10" s="19">
        <f>VLOOKUP(C9, grading_legend!$B$3:$G$7, 6, TRUE)</f>
        <v>3.5</v>
      </c>
      <c r="D10" s="19" t="str">
        <f>VLOOKUP(C10, grading_legend!$G$3:$H$7, 2, TRUE)</f>
        <v>A</v>
      </c>
      <c r="E10" s="12"/>
      <c r="G10" s="36" t="s">
        <v>37</v>
      </c>
      <c r="H10" s="40">
        <v>50</v>
      </c>
      <c r="I10" s="33"/>
      <c r="J10" s="36" t="s">
        <v>8</v>
      </c>
      <c r="K10" s="40">
        <v>50</v>
      </c>
      <c r="L10" s="33"/>
      <c r="M10" s="33"/>
      <c r="N10" s="33"/>
      <c r="O10" s="33"/>
      <c r="P10" s="33"/>
      <c r="Q10" s="33"/>
      <c r="R10" s="33"/>
      <c r="S10" s="33"/>
      <c r="T10" s="33"/>
    </row>
    <row r="11" spans="2:20" ht="17" thickBot="1" x14ac:dyDescent="0.25">
      <c r="B11" s="13" t="s">
        <v>100</v>
      </c>
      <c r="C11" s="25" t="str">
        <f>D10</f>
        <v>A</v>
      </c>
      <c r="D11" s="25"/>
      <c r="E11" s="14"/>
    </row>
    <row r="14" spans="2:20" ht="22" x14ac:dyDescent="0.3">
      <c r="B14" s="41" t="s">
        <v>109</v>
      </c>
    </row>
  </sheetData>
  <conditionalFormatting sqref="C3:C9">
    <cfRule type="cellIs" dxfId="5" priority="1" operator="lessThan">
      <formula>75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FBED0-DAD9-544A-8668-4C41B29B4227}">
  <dimension ref="B1:O10"/>
  <sheetViews>
    <sheetView tabSelected="1" topLeftCell="B1" zoomScale="159" workbookViewId="0">
      <selection activeCell="F10" sqref="F10"/>
    </sheetView>
  </sheetViews>
  <sheetFormatPr baseColWidth="10" defaultRowHeight="16" x14ac:dyDescent="0.2"/>
  <cols>
    <col min="2" max="2" width="21.5" customWidth="1"/>
    <col min="5" max="5" width="17.6640625" customWidth="1"/>
    <col min="8" max="8" width="17.33203125" customWidth="1"/>
    <col min="11" max="11" width="17.1640625" customWidth="1"/>
    <col min="14" max="14" width="17.33203125" customWidth="1"/>
  </cols>
  <sheetData>
    <row r="1" spans="2:15" ht="17" thickBot="1" x14ac:dyDescent="0.25"/>
    <row r="2" spans="2:15" ht="19" x14ac:dyDescent="0.25">
      <c r="B2" s="21" t="s">
        <v>29</v>
      </c>
      <c r="C2" s="22" t="s">
        <v>0</v>
      </c>
      <c r="D2" s="23"/>
      <c r="E2" s="21" t="s">
        <v>6</v>
      </c>
      <c r="F2" s="22" t="s">
        <v>0</v>
      </c>
      <c r="G2" s="23"/>
      <c r="H2" s="21" t="s">
        <v>13</v>
      </c>
      <c r="I2" s="22" t="s">
        <v>0</v>
      </c>
      <c r="J2" s="23"/>
      <c r="K2" s="21" t="s">
        <v>7</v>
      </c>
      <c r="L2" s="22" t="s">
        <v>0</v>
      </c>
      <c r="M2" s="23"/>
      <c r="N2" s="21" t="s">
        <v>18</v>
      </c>
      <c r="O2" s="22" t="s">
        <v>0</v>
      </c>
    </row>
    <row r="3" spans="2:15" x14ac:dyDescent="0.2">
      <c r="B3" s="11" t="s">
        <v>30</v>
      </c>
      <c r="C3" s="12">
        <v>100</v>
      </c>
      <c r="E3" s="11" t="s">
        <v>20</v>
      </c>
      <c r="F3" s="12">
        <v>50</v>
      </c>
      <c r="H3" s="11" t="s">
        <v>9</v>
      </c>
      <c r="I3" s="12">
        <v>100</v>
      </c>
      <c r="K3" s="11" t="s">
        <v>28</v>
      </c>
      <c r="L3" s="12">
        <v>100</v>
      </c>
      <c r="N3" s="11" t="s">
        <v>29</v>
      </c>
      <c r="O3" s="12">
        <f>C10</f>
        <v>63.714285714285715</v>
      </c>
    </row>
    <row r="4" spans="2:15" x14ac:dyDescent="0.2">
      <c r="B4" s="11" t="s">
        <v>31</v>
      </c>
      <c r="C4" s="12">
        <v>50</v>
      </c>
      <c r="E4" s="11" t="s">
        <v>21</v>
      </c>
      <c r="F4" s="12">
        <v>50</v>
      </c>
      <c r="H4" s="11" t="s">
        <v>10</v>
      </c>
      <c r="I4" s="12">
        <v>100</v>
      </c>
      <c r="K4" s="11" t="s">
        <v>44</v>
      </c>
      <c r="L4" s="12">
        <v>100</v>
      </c>
      <c r="N4" s="11" t="s">
        <v>6</v>
      </c>
      <c r="O4" s="15">
        <f>F10</f>
        <v>67.142857142857139</v>
      </c>
    </row>
    <row r="5" spans="2:15" ht="17" thickBot="1" x14ac:dyDescent="0.25">
      <c r="B5" s="11" t="s">
        <v>32</v>
      </c>
      <c r="C5" s="12">
        <v>50</v>
      </c>
      <c r="E5" s="11" t="s">
        <v>22</v>
      </c>
      <c r="F5" s="12">
        <v>90</v>
      </c>
      <c r="H5" s="11" t="s">
        <v>11</v>
      </c>
      <c r="I5" s="12">
        <v>100</v>
      </c>
      <c r="K5" s="13" t="s">
        <v>15</v>
      </c>
      <c r="L5" s="14">
        <f>AVERAGE(L3:L4)</f>
        <v>100</v>
      </c>
      <c r="N5" s="11" t="s">
        <v>13</v>
      </c>
      <c r="O5" s="15">
        <f>I7</f>
        <v>100</v>
      </c>
    </row>
    <row r="6" spans="2:15" x14ac:dyDescent="0.2">
      <c r="B6" s="11" t="s">
        <v>33</v>
      </c>
      <c r="C6" s="12">
        <v>86</v>
      </c>
      <c r="E6" s="11" t="s">
        <v>23</v>
      </c>
      <c r="F6" s="12">
        <v>50</v>
      </c>
      <c r="H6" s="11" t="s">
        <v>27</v>
      </c>
      <c r="I6" s="12">
        <v>100</v>
      </c>
      <c r="N6" s="11" t="s">
        <v>19</v>
      </c>
      <c r="O6" s="15">
        <f>L5</f>
        <v>100</v>
      </c>
    </row>
    <row r="7" spans="2:15" ht="17" thickBot="1" x14ac:dyDescent="0.25">
      <c r="B7" s="11" t="s">
        <v>34</v>
      </c>
      <c r="C7" s="12">
        <v>50</v>
      </c>
      <c r="E7" s="11" t="s">
        <v>24</v>
      </c>
      <c r="F7" s="12">
        <v>90</v>
      </c>
      <c r="H7" s="13" t="s">
        <v>12</v>
      </c>
      <c r="I7" s="14">
        <f>AVERAGE(I3:I6)</f>
        <v>100</v>
      </c>
      <c r="N7" s="13" t="s">
        <v>103</v>
      </c>
      <c r="O7" s="16">
        <f>0.05*O3+0.2*O4+0.1*O5+0.65*O6</f>
        <v>91.614285714285714</v>
      </c>
    </row>
    <row r="8" spans="2:15" x14ac:dyDescent="0.2">
      <c r="B8" s="11" t="s">
        <v>35</v>
      </c>
      <c r="C8" s="12">
        <v>40</v>
      </c>
      <c r="E8" s="11" t="s">
        <v>25</v>
      </c>
      <c r="F8" s="12">
        <v>90</v>
      </c>
    </row>
    <row r="9" spans="2:15" x14ac:dyDescent="0.2">
      <c r="B9" s="11" t="s">
        <v>36</v>
      </c>
      <c r="C9" s="12">
        <v>70</v>
      </c>
      <c r="E9" s="11" t="s">
        <v>26</v>
      </c>
      <c r="F9" s="12">
        <v>50</v>
      </c>
    </row>
    <row r="10" spans="2:15" ht="17" thickBot="1" x14ac:dyDescent="0.25">
      <c r="B10" s="13" t="s">
        <v>37</v>
      </c>
      <c r="C10" s="14">
        <f>AVERAGE(C3:C9)</f>
        <v>63.714285714285715</v>
      </c>
      <c r="E10" s="13" t="s">
        <v>8</v>
      </c>
      <c r="F10" s="14">
        <f>AVERAGE(F3:F9)</f>
        <v>67.142857142857139</v>
      </c>
    </row>
  </sheetData>
  <conditionalFormatting sqref="C3:C10">
    <cfRule type="cellIs" dxfId="26" priority="2" operator="lessThan">
      <formula>75</formula>
    </cfRule>
  </conditionalFormatting>
  <conditionalFormatting sqref="F3:F10">
    <cfRule type="cellIs" dxfId="9" priority="8" operator="lessThan">
      <formula>75</formula>
    </cfRule>
  </conditionalFormatting>
  <conditionalFormatting sqref="I3:I7">
    <cfRule type="cellIs" dxfId="8" priority="7" operator="lessThan">
      <formula>75</formula>
    </cfRule>
  </conditionalFormatting>
  <conditionalFormatting sqref="L3:L5">
    <cfRule type="cellIs" dxfId="7" priority="6" operator="lessThan">
      <formula>75</formula>
    </cfRule>
  </conditionalFormatting>
  <conditionalFormatting sqref="O3:O7">
    <cfRule type="cellIs" dxfId="25" priority="1" operator="lessThan">
      <formula>75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F2A36-E201-1A46-973C-1B0A9904F752}">
  <dimension ref="B1:O8"/>
  <sheetViews>
    <sheetView workbookViewId="0">
      <selection activeCell="I4" sqref="I4"/>
    </sheetView>
  </sheetViews>
  <sheetFormatPr baseColWidth="10" defaultRowHeight="16" x14ac:dyDescent="0.2"/>
  <cols>
    <col min="2" max="2" width="21.83203125" customWidth="1"/>
    <col min="5" max="5" width="17.33203125" customWidth="1"/>
    <col min="6" max="6" width="9.6640625" customWidth="1"/>
    <col min="8" max="8" width="19.6640625" customWidth="1"/>
    <col min="11" max="11" width="17.1640625" customWidth="1"/>
    <col min="14" max="14" width="16.83203125" customWidth="1"/>
  </cols>
  <sheetData>
    <row r="1" spans="2:15" ht="17" thickBot="1" x14ac:dyDescent="0.25"/>
    <row r="2" spans="2:15" ht="19" x14ac:dyDescent="0.25">
      <c r="B2" s="21" t="s">
        <v>29</v>
      </c>
      <c r="C2" s="22" t="s">
        <v>0</v>
      </c>
      <c r="D2" s="23"/>
      <c r="E2" s="21" t="s">
        <v>6</v>
      </c>
      <c r="F2" s="22" t="s">
        <v>0</v>
      </c>
      <c r="G2" s="23"/>
      <c r="H2" s="21" t="s">
        <v>13</v>
      </c>
      <c r="I2" s="22" t="s">
        <v>0</v>
      </c>
      <c r="J2" s="23"/>
      <c r="K2" s="21" t="s">
        <v>7</v>
      </c>
      <c r="L2" s="22" t="s">
        <v>0</v>
      </c>
      <c r="M2" s="23"/>
      <c r="N2" s="21" t="s">
        <v>18</v>
      </c>
      <c r="O2" s="22" t="s">
        <v>0</v>
      </c>
    </row>
    <row r="3" spans="2:15" x14ac:dyDescent="0.2">
      <c r="B3" s="11" t="s">
        <v>47</v>
      </c>
      <c r="C3" s="12">
        <v>50</v>
      </c>
      <c r="E3" s="11" t="s">
        <v>38</v>
      </c>
      <c r="F3" s="12">
        <v>50</v>
      </c>
      <c r="H3" s="11" t="s">
        <v>42</v>
      </c>
      <c r="I3" s="12">
        <v>100</v>
      </c>
      <c r="K3" s="11" t="s">
        <v>45</v>
      </c>
      <c r="L3" s="12">
        <v>100</v>
      </c>
      <c r="N3" s="11" t="s">
        <v>29</v>
      </c>
      <c r="O3" s="12">
        <f>C8</f>
        <v>50</v>
      </c>
    </row>
    <row r="4" spans="2:15" x14ac:dyDescent="0.2">
      <c r="B4" s="11" t="s">
        <v>48</v>
      </c>
      <c r="C4" s="12">
        <v>50</v>
      </c>
      <c r="E4" s="11" t="s">
        <v>39</v>
      </c>
      <c r="F4" s="12">
        <v>50</v>
      </c>
      <c r="H4" s="11" t="s">
        <v>43</v>
      </c>
      <c r="I4" s="12">
        <v>100</v>
      </c>
      <c r="K4" s="11" t="s">
        <v>46</v>
      </c>
      <c r="L4" s="12">
        <v>100</v>
      </c>
      <c r="N4" s="11" t="s">
        <v>6</v>
      </c>
      <c r="O4" s="15">
        <f>F8</f>
        <v>50</v>
      </c>
    </row>
    <row r="5" spans="2:15" ht="17" thickBot="1" x14ac:dyDescent="0.25">
      <c r="B5" s="11" t="s">
        <v>49</v>
      </c>
      <c r="C5" s="12">
        <v>50</v>
      </c>
      <c r="E5" s="11" t="s">
        <v>40</v>
      </c>
      <c r="F5" s="12">
        <v>50</v>
      </c>
      <c r="H5" s="11" t="s">
        <v>53</v>
      </c>
      <c r="I5" s="12">
        <v>100</v>
      </c>
      <c r="K5" s="13" t="s">
        <v>15</v>
      </c>
      <c r="L5" s="14">
        <f>AVERAGE(L3:L4)</f>
        <v>100</v>
      </c>
      <c r="N5" s="11" t="s">
        <v>13</v>
      </c>
      <c r="O5" s="15">
        <f>I7</f>
        <v>100</v>
      </c>
    </row>
    <row r="6" spans="2:15" x14ac:dyDescent="0.2">
      <c r="B6" s="11" t="s">
        <v>50</v>
      </c>
      <c r="C6" s="12">
        <v>50</v>
      </c>
      <c r="E6" s="11" t="s">
        <v>41</v>
      </c>
      <c r="F6" s="12">
        <v>50</v>
      </c>
      <c r="H6" s="11" t="s">
        <v>54</v>
      </c>
      <c r="I6" s="12">
        <v>100</v>
      </c>
      <c r="N6" s="11" t="s">
        <v>19</v>
      </c>
      <c r="O6" s="15">
        <f>L5</f>
        <v>100</v>
      </c>
    </row>
    <row r="7" spans="2:15" ht="17" thickBot="1" x14ac:dyDescent="0.25">
      <c r="B7" s="11" t="s">
        <v>51</v>
      </c>
      <c r="C7" s="12">
        <v>50</v>
      </c>
      <c r="E7" s="11" t="s">
        <v>52</v>
      </c>
      <c r="F7" s="12">
        <v>50</v>
      </c>
      <c r="H7" s="13" t="s">
        <v>12</v>
      </c>
      <c r="I7" s="14">
        <f>AVERAGE(I3:I6)</f>
        <v>100</v>
      </c>
      <c r="N7" s="13" t="s">
        <v>104</v>
      </c>
      <c r="O7" s="16">
        <f>0.05*O3+0.2*O4+0.1*O5+0.65*O6</f>
        <v>87.5</v>
      </c>
    </row>
    <row r="8" spans="2:15" ht="17" thickBot="1" x14ac:dyDescent="0.25">
      <c r="B8" s="13" t="s">
        <v>37</v>
      </c>
      <c r="C8" s="14">
        <f>AVERAGE(C3:C7)</f>
        <v>50</v>
      </c>
      <c r="E8" s="13" t="s">
        <v>8</v>
      </c>
      <c r="F8" s="14">
        <f>AVERAGE(F3:F7)</f>
        <v>50</v>
      </c>
    </row>
  </sheetData>
  <conditionalFormatting sqref="C3:C8">
    <cfRule type="cellIs" dxfId="6" priority="2" operator="lessThan">
      <formula>75</formula>
    </cfRule>
  </conditionalFormatting>
  <conditionalFormatting sqref="F3:F8">
    <cfRule type="cellIs" dxfId="24" priority="8" operator="lessThan">
      <formula>75</formula>
    </cfRule>
  </conditionalFormatting>
  <conditionalFormatting sqref="I3:I7">
    <cfRule type="cellIs" dxfId="23" priority="7" operator="lessThan">
      <formula>75</formula>
    </cfRule>
  </conditionalFormatting>
  <conditionalFormatting sqref="L3:L5">
    <cfRule type="cellIs" dxfId="22" priority="6" operator="lessThan">
      <formula>75</formula>
    </cfRule>
  </conditionalFormatting>
  <conditionalFormatting sqref="O3:O7">
    <cfRule type="cellIs" dxfId="21" priority="1" operator="lessThan">
      <formula>75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5A5A1-25A1-054E-80C4-0749F2070D13}">
  <dimension ref="B1:O10"/>
  <sheetViews>
    <sheetView workbookViewId="0">
      <selection activeCell="F9" sqref="F9"/>
    </sheetView>
  </sheetViews>
  <sheetFormatPr baseColWidth="10" defaultRowHeight="16" x14ac:dyDescent="0.2"/>
  <cols>
    <col min="2" max="2" width="21.83203125" customWidth="1"/>
    <col min="5" max="5" width="17.33203125" customWidth="1"/>
    <col min="8" max="8" width="16.33203125" customWidth="1"/>
    <col min="11" max="11" width="17.33203125" customWidth="1"/>
    <col min="14" max="14" width="17.5" customWidth="1"/>
  </cols>
  <sheetData>
    <row r="1" spans="2:15" ht="17" thickBot="1" x14ac:dyDescent="0.25"/>
    <row r="2" spans="2:15" ht="19" x14ac:dyDescent="0.25">
      <c r="B2" s="21" t="s">
        <v>29</v>
      </c>
      <c r="C2" s="22" t="s">
        <v>0</v>
      </c>
      <c r="D2" s="23"/>
      <c r="E2" s="21" t="s">
        <v>6</v>
      </c>
      <c r="F2" s="22" t="s">
        <v>0</v>
      </c>
      <c r="G2" s="23"/>
      <c r="H2" s="21" t="s">
        <v>13</v>
      </c>
      <c r="I2" s="22" t="s">
        <v>0</v>
      </c>
      <c r="J2" s="23"/>
      <c r="K2" s="21" t="s">
        <v>7</v>
      </c>
      <c r="L2" s="22" t="s">
        <v>0</v>
      </c>
      <c r="M2" s="23"/>
      <c r="N2" s="21" t="s">
        <v>18</v>
      </c>
      <c r="O2" s="22" t="s">
        <v>0</v>
      </c>
    </row>
    <row r="3" spans="2:15" x14ac:dyDescent="0.2">
      <c r="B3" s="11" t="s">
        <v>55</v>
      </c>
      <c r="C3" s="12">
        <v>50</v>
      </c>
      <c r="E3" s="11" t="s">
        <v>62</v>
      </c>
      <c r="F3" s="12">
        <v>50</v>
      </c>
      <c r="H3" s="11" t="s">
        <v>69</v>
      </c>
      <c r="I3" s="12">
        <v>100</v>
      </c>
      <c r="K3" s="11" t="s">
        <v>73</v>
      </c>
      <c r="L3" s="12">
        <v>100</v>
      </c>
      <c r="N3" s="11" t="s">
        <v>29</v>
      </c>
      <c r="O3" s="12">
        <f>C10</f>
        <v>61.142857142857146</v>
      </c>
    </row>
    <row r="4" spans="2:15" x14ac:dyDescent="0.2">
      <c r="B4" s="11" t="s">
        <v>56</v>
      </c>
      <c r="C4" s="12">
        <v>50</v>
      </c>
      <c r="E4" s="11" t="s">
        <v>63</v>
      </c>
      <c r="F4" s="12">
        <v>60</v>
      </c>
      <c r="H4" s="11" t="s">
        <v>70</v>
      </c>
      <c r="I4" s="12">
        <v>100</v>
      </c>
      <c r="K4" s="11" t="s">
        <v>74</v>
      </c>
      <c r="L4" s="12">
        <v>100</v>
      </c>
      <c r="N4" s="11" t="s">
        <v>6</v>
      </c>
      <c r="O4" s="15">
        <f>F10</f>
        <v>63.142857142857146</v>
      </c>
    </row>
    <row r="5" spans="2:15" ht="17" thickBot="1" x14ac:dyDescent="0.25">
      <c r="B5" s="11" t="s">
        <v>57</v>
      </c>
      <c r="C5" s="12">
        <v>78</v>
      </c>
      <c r="E5" s="11" t="s">
        <v>64</v>
      </c>
      <c r="F5" s="12">
        <v>50</v>
      </c>
      <c r="H5" s="11" t="s">
        <v>71</v>
      </c>
      <c r="I5" s="12">
        <v>100</v>
      </c>
      <c r="K5" s="13" t="s">
        <v>15</v>
      </c>
      <c r="L5" s="14">
        <f>AVERAGE(L3:L4)</f>
        <v>100</v>
      </c>
      <c r="N5" s="11" t="s">
        <v>13</v>
      </c>
      <c r="O5" s="15">
        <f>I7</f>
        <v>100</v>
      </c>
    </row>
    <row r="6" spans="2:15" x14ac:dyDescent="0.2">
      <c r="B6" s="11" t="s">
        <v>58</v>
      </c>
      <c r="C6" s="12">
        <v>50</v>
      </c>
      <c r="E6" s="11" t="s">
        <v>65</v>
      </c>
      <c r="F6" s="12">
        <v>102</v>
      </c>
      <c r="H6" s="11" t="s">
        <v>72</v>
      </c>
      <c r="I6" s="12">
        <v>100</v>
      </c>
      <c r="N6" s="11" t="s">
        <v>19</v>
      </c>
      <c r="O6" s="15">
        <f>L5</f>
        <v>100</v>
      </c>
    </row>
    <row r="7" spans="2:15" ht="17" thickBot="1" x14ac:dyDescent="0.25">
      <c r="B7" s="11" t="s">
        <v>59</v>
      </c>
      <c r="C7" s="12">
        <v>50</v>
      </c>
      <c r="E7" s="11" t="s">
        <v>66</v>
      </c>
      <c r="F7" s="12">
        <v>50</v>
      </c>
      <c r="H7" s="13" t="s">
        <v>12</v>
      </c>
      <c r="I7" s="14">
        <f>AVERAGE(I3:I6)</f>
        <v>100</v>
      </c>
      <c r="N7" s="13" t="s">
        <v>105</v>
      </c>
      <c r="O7" s="16">
        <f>0.05*O3+0.2*O4+0.1*O5+0.65*O6</f>
        <v>90.685714285714283</v>
      </c>
    </row>
    <row r="8" spans="2:15" x14ac:dyDescent="0.2">
      <c r="B8" s="11" t="s">
        <v>60</v>
      </c>
      <c r="C8" s="12">
        <v>100</v>
      </c>
      <c r="E8" s="11" t="s">
        <v>67</v>
      </c>
      <c r="F8" s="12">
        <v>80</v>
      </c>
    </row>
    <row r="9" spans="2:15" x14ac:dyDescent="0.2">
      <c r="B9" s="11" t="s">
        <v>61</v>
      </c>
      <c r="C9" s="12">
        <v>50</v>
      </c>
      <c r="E9" s="11" t="s">
        <v>68</v>
      </c>
      <c r="F9" s="12">
        <v>50</v>
      </c>
    </row>
    <row r="10" spans="2:15" ht="17" thickBot="1" x14ac:dyDescent="0.25">
      <c r="B10" s="13" t="s">
        <v>37</v>
      </c>
      <c r="C10" s="14">
        <f>AVERAGE(C3:C9)</f>
        <v>61.142857142857146</v>
      </c>
      <c r="E10" s="13" t="s">
        <v>8</v>
      </c>
      <c r="F10" s="14">
        <f>AVERAGE(F3:F9)</f>
        <v>63.142857142857146</v>
      </c>
    </row>
  </sheetData>
  <phoneticPr fontId="4" type="noConversion"/>
  <conditionalFormatting sqref="C3:C10">
    <cfRule type="cellIs" dxfId="20" priority="2" operator="lessThan">
      <formula>75</formula>
    </cfRule>
  </conditionalFormatting>
  <conditionalFormatting sqref="F3:F10">
    <cfRule type="cellIs" dxfId="19" priority="8" operator="lessThan">
      <formula>75</formula>
    </cfRule>
  </conditionalFormatting>
  <conditionalFormatting sqref="I3:I7">
    <cfRule type="cellIs" dxfId="18" priority="7" operator="lessThan">
      <formula>75</formula>
    </cfRule>
  </conditionalFormatting>
  <conditionalFormatting sqref="L3:L5">
    <cfRule type="cellIs" dxfId="17" priority="6" operator="lessThan">
      <formula>75</formula>
    </cfRule>
  </conditionalFormatting>
  <conditionalFormatting sqref="O3:O7">
    <cfRule type="cellIs" dxfId="16" priority="1" operator="lessThan">
      <formula>75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F199B-E7AF-6043-A548-0DD6A3BF17EA}">
  <dimension ref="B1:O8"/>
  <sheetViews>
    <sheetView workbookViewId="0">
      <selection activeCell="F8" sqref="F8"/>
    </sheetView>
  </sheetViews>
  <sheetFormatPr baseColWidth="10" defaultRowHeight="16" x14ac:dyDescent="0.2"/>
  <cols>
    <col min="2" max="2" width="21.6640625" customWidth="1"/>
    <col min="5" max="5" width="16.6640625" customWidth="1"/>
    <col min="8" max="8" width="16.83203125" customWidth="1"/>
    <col min="11" max="11" width="17.1640625" customWidth="1"/>
    <col min="14" max="14" width="15.5" customWidth="1"/>
  </cols>
  <sheetData>
    <row r="1" spans="2:15" ht="17" thickBot="1" x14ac:dyDescent="0.25"/>
    <row r="2" spans="2:15" ht="19" x14ac:dyDescent="0.25">
      <c r="B2" s="21" t="s">
        <v>29</v>
      </c>
      <c r="C2" s="22" t="s">
        <v>0</v>
      </c>
      <c r="D2" s="23"/>
      <c r="E2" s="21" t="s">
        <v>6</v>
      </c>
      <c r="F2" s="22" t="s">
        <v>0</v>
      </c>
      <c r="G2" s="23"/>
      <c r="H2" s="21" t="s">
        <v>13</v>
      </c>
      <c r="I2" s="22" t="s">
        <v>0</v>
      </c>
      <c r="J2" s="23"/>
      <c r="K2" s="21" t="s">
        <v>7</v>
      </c>
      <c r="L2" s="22" t="s">
        <v>0</v>
      </c>
      <c r="M2" s="23"/>
      <c r="N2" s="21" t="s">
        <v>18</v>
      </c>
      <c r="O2" s="22" t="s">
        <v>0</v>
      </c>
    </row>
    <row r="3" spans="2:15" x14ac:dyDescent="0.2">
      <c r="B3" s="11" t="s">
        <v>75</v>
      </c>
      <c r="C3" s="12">
        <v>50</v>
      </c>
      <c r="E3" s="11" t="s">
        <v>80</v>
      </c>
      <c r="F3" s="12">
        <v>50</v>
      </c>
      <c r="H3" s="11" t="s">
        <v>85</v>
      </c>
      <c r="I3" s="12">
        <v>100</v>
      </c>
      <c r="K3" s="11" t="s">
        <v>89</v>
      </c>
      <c r="L3" s="12">
        <v>100</v>
      </c>
      <c r="N3" s="11" t="s">
        <v>29</v>
      </c>
      <c r="O3" s="12">
        <f>C8</f>
        <v>50</v>
      </c>
    </row>
    <row r="4" spans="2:15" x14ac:dyDescent="0.2">
      <c r="B4" s="11" t="s">
        <v>76</v>
      </c>
      <c r="C4" s="12">
        <v>20</v>
      </c>
      <c r="E4" s="11" t="s">
        <v>81</v>
      </c>
      <c r="F4" s="12">
        <v>50</v>
      </c>
      <c r="H4" s="11" t="s">
        <v>86</v>
      </c>
      <c r="I4" s="12">
        <v>100</v>
      </c>
      <c r="K4" s="11" t="s">
        <v>90</v>
      </c>
      <c r="L4" s="12">
        <v>100</v>
      </c>
      <c r="N4" s="11" t="s">
        <v>6</v>
      </c>
      <c r="O4" s="15">
        <f>F8</f>
        <v>52</v>
      </c>
    </row>
    <row r="5" spans="2:15" ht="17" thickBot="1" x14ac:dyDescent="0.25">
      <c r="B5" s="11" t="s">
        <v>77</v>
      </c>
      <c r="C5" s="12">
        <v>50</v>
      </c>
      <c r="E5" s="11" t="s">
        <v>82</v>
      </c>
      <c r="F5" s="12">
        <v>40</v>
      </c>
      <c r="H5" s="11" t="s">
        <v>87</v>
      </c>
      <c r="I5" s="12">
        <v>100</v>
      </c>
      <c r="K5" s="13" t="s">
        <v>15</v>
      </c>
      <c r="L5" s="14">
        <f>AVERAGE(L3:L4)</f>
        <v>100</v>
      </c>
      <c r="N5" s="11" t="s">
        <v>13</v>
      </c>
      <c r="O5" s="15">
        <f>I7</f>
        <v>100</v>
      </c>
    </row>
    <row r="6" spans="2:15" x14ac:dyDescent="0.2">
      <c r="B6" s="11" t="s">
        <v>78</v>
      </c>
      <c r="C6" s="12">
        <v>50</v>
      </c>
      <c r="E6" s="11" t="s">
        <v>83</v>
      </c>
      <c r="F6" s="12">
        <v>50</v>
      </c>
      <c r="H6" s="11" t="s">
        <v>88</v>
      </c>
      <c r="I6" s="12">
        <v>100</v>
      </c>
      <c r="N6" s="11" t="s">
        <v>19</v>
      </c>
      <c r="O6" s="15">
        <f>L5</f>
        <v>100</v>
      </c>
    </row>
    <row r="7" spans="2:15" ht="17" thickBot="1" x14ac:dyDescent="0.25">
      <c r="B7" s="11" t="s">
        <v>79</v>
      </c>
      <c r="C7" s="12">
        <v>80</v>
      </c>
      <c r="E7" s="11" t="s">
        <v>84</v>
      </c>
      <c r="F7" s="12">
        <v>70</v>
      </c>
      <c r="H7" s="13" t="s">
        <v>12</v>
      </c>
      <c r="I7" s="14">
        <f>AVERAGE(I3:I6)</f>
        <v>100</v>
      </c>
      <c r="N7" s="13" t="s">
        <v>106</v>
      </c>
      <c r="O7" s="16">
        <f>0.05*O3+0.2*O4+0.1*O5+0.65*O6</f>
        <v>87.9</v>
      </c>
    </row>
    <row r="8" spans="2:15" ht="17" thickBot="1" x14ac:dyDescent="0.25">
      <c r="B8" s="13" t="s">
        <v>37</v>
      </c>
      <c r="C8" s="14">
        <f>AVERAGE(C3:C7)</f>
        <v>50</v>
      </c>
      <c r="E8" s="13" t="s">
        <v>8</v>
      </c>
      <c r="F8" s="14">
        <f>AVERAGE(F3:F7)</f>
        <v>52</v>
      </c>
    </row>
  </sheetData>
  <phoneticPr fontId="4" type="noConversion"/>
  <conditionalFormatting sqref="C3:C8">
    <cfRule type="cellIs" dxfId="15" priority="2" operator="lessThan">
      <formula>75</formula>
    </cfRule>
  </conditionalFormatting>
  <conditionalFormatting sqref="F3:F8">
    <cfRule type="cellIs" dxfId="14" priority="8" operator="lessThan">
      <formula>75</formula>
    </cfRule>
  </conditionalFormatting>
  <conditionalFormatting sqref="I3:I7">
    <cfRule type="cellIs" dxfId="13" priority="7" operator="lessThan">
      <formula>75</formula>
    </cfRule>
  </conditionalFormatting>
  <conditionalFormatting sqref="L3:L5">
    <cfRule type="cellIs" dxfId="12" priority="6" operator="lessThan">
      <formula>75</formula>
    </cfRule>
  </conditionalFormatting>
  <conditionalFormatting sqref="O3:O7">
    <cfRule type="cellIs" dxfId="11" priority="1" operator="lessThan">
      <formula>75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3BB62-3B11-4042-9087-F9749BFF4B10}">
  <dimension ref="B1:H7"/>
  <sheetViews>
    <sheetView workbookViewId="0">
      <selection activeCell="E7" sqref="E7"/>
    </sheetView>
  </sheetViews>
  <sheetFormatPr baseColWidth="10" defaultRowHeight="16" x14ac:dyDescent="0.2"/>
  <cols>
    <col min="2" max="2" width="17.5" customWidth="1"/>
    <col min="3" max="3" width="16.6640625" customWidth="1"/>
    <col min="4" max="4" width="24.5" customWidth="1"/>
    <col min="5" max="5" width="24" customWidth="1"/>
    <col min="6" max="6" width="15.6640625" customWidth="1"/>
    <col min="7" max="7" width="17.1640625" customWidth="1"/>
    <col min="8" max="8" width="16.33203125" customWidth="1"/>
  </cols>
  <sheetData>
    <row r="1" spans="2:8" ht="17" thickBot="1" x14ac:dyDescent="0.25"/>
    <row r="2" spans="2:8" ht="24" x14ac:dyDescent="0.3">
      <c r="B2" s="1" t="s">
        <v>107</v>
      </c>
      <c r="C2" s="2" t="s">
        <v>108</v>
      </c>
      <c r="D2" s="2" t="s">
        <v>17</v>
      </c>
      <c r="E2" s="3" t="s">
        <v>14</v>
      </c>
      <c r="G2" s="1" t="s">
        <v>16</v>
      </c>
      <c r="H2" s="3" t="s">
        <v>17</v>
      </c>
    </row>
    <row r="3" spans="2:8" ht="24" x14ac:dyDescent="0.3">
      <c r="B3" s="7">
        <v>0</v>
      </c>
      <c r="C3" s="17">
        <v>59.5</v>
      </c>
      <c r="D3" s="18" t="s">
        <v>1</v>
      </c>
      <c r="E3" s="4">
        <v>0</v>
      </c>
      <c r="G3" s="7">
        <v>0</v>
      </c>
      <c r="H3" s="8" t="s">
        <v>1</v>
      </c>
    </row>
    <row r="4" spans="2:8" ht="24" x14ac:dyDescent="0.3">
      <c r="B4" s="7">
        <v>59.6</v>
      </c>
      <c r="C4" s="18">
        <v>69.5</v>
      </c>
      <c r="D4" s="18" t="s">
        <v>2</v>
      </c>
      <c r="E4" s="4">
        <v>1</v>
      </c>
      <c r="G4" s="7">
        <v>0.5</v>
      </c>
      <c r="H4" s="8" t="s">
        <v>2</v>
      </c>
    </row>
    <row r="5" spans="2:8" ht="24" x14ac:dyDescent="0.3">
      <c r="B5" s="7">
        <v>69.599999999999994</v>
      </c>
      <c r="C5" s="18">
        <v>79.5</v>
      </c>
      <c r="D5" s="18" t="s">
        <v>3</v>
      </c>
      <c r="E5" s="4">
        <v>2</v>
      </c>
      <c r="G5" s="7">
        <v>1.5</v>
      </c>
      <c r="H5" s="8" t="s">
        <v>3</v>
      </c>
    </row>
    <row r="6" spans="2:8" ht="24" x14ac:dyDescent="0.3">
      <c r="B6" s="7">
        <v>79.599999999999994</v>
      </c>
      <c r="C6" s="18">
        <v>89.5</v>
      </c>
      <c r="D6" s="18" t="s">
        <v>4</v>
      </c>
      <c r="E6" s="4">
        <v>3</v>
      </c>
      <c r="G6" s="7">
        <v>2.5</v>
      </c>
      <c r="H6" s="8" t="s">
        <v>4</v>
      </c>
    </row>
    <row r="7" spans="2:8" ht="25" thickBot="1" x14ac:dyDescent="0.35">
      <c r="B7" s="9">
        <v>89.6</v>
      </c>
      <c r="C7" s="5">
        <v>100</v>
      </c>
      <c r="D7" s="5" t="s">
        <v>5</v>
      </c>
      <c r="E7" s="6">
        <v>4</v>
      </c>
      <c r="G7" s="9">
        <v>3.5</v>
      </c>
      <c r="H7" s="10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documentation</vt:lpstr>
      <vt:lpstr>overall</vt:lpstr>
      <vt:lpstr>scenario</vt:lpstr>
      <vt:lpstr>quarter_1</vt:lpstr>
      <vt:lpstr>quarter_2</vt:lpstr>
      <vt:lpstr>quarter_3</vt:lpstr>
      <vt:lpstr>quarter_4</vt:lpstr>
      <vt:lpstr>grading_legend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Korns, Alexander</dc:creator>
  <cp:lastModifiedBy>Korns, Alexander</cp:lastModifiedBy>
  <dcterms:created xsi:type="dcterms:W3CDTF">2026-09-23T15:22:21Z</dcterms:created>
  <dcterms:modified xsi:type="dcterms:W3CDTF">2026-10-01T18:13:30Z</dcterms:modified>
</cp:coreProperties>
</file>