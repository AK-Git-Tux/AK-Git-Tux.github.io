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filterPrivacy="1" codeName="ThisWorkbook" defaultThemeVersion="124226"/>
  <xr:revisionPtr revIDLastSave="0" documentId="13_ncr:1_{E83FBC6A-16C5-DB46-B5B7-4FAFDCCEB554}" xr6:coauthVersionLast="47" xr6:coauthVersionMax="47" xr10:uidLastSave="{00000000-0000-0000-0000-000000000000}"/>
  <bookViews>
    <workbookView xWindow="-40" yWindow="500" windowWidth="28800" windowHeight="16360" activeTab="1" xr2:uid="{00000000-000D-0000-FFFF-FFFF00000000}"/>
  </bookViews>
  <sheets>
    <sheet name="Orders" sheetId="9" r:id="rId1"/>
    <sheet name="CEO Dashboard" sheetId="12" r:id="rId2"/>
    <sheet name="Returns" sheetId="11" r:id="rId3"/>
    <sheet name="Users" sheetId="4" r:id="rId4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2" l="1"/>
  <c r="A2" i="12" a="1"/>
  <c r="A2" i="12" s="1"/>
  <c r="I2" i="12"/>
  <c r="H2" i="12"/>
  <c r="G5" i="12"/>
  <c r="G4" i="12"/>
  <c r="G3" i="12"/>
  <c r="G2" i="12"/>
  <c r="F2" i="12"/>
  <c r="E2" i="12"/>
  <c r="D2" i="12"/>
  <c r="C2" i="12"/>
  <c r="B2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<sst xmlns="http://schemas.openxmlformats.org/spreadsheetml/2006/main" count="25105" uniqueCount="3046">
  <si>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</si>
  <si>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</si>
  <si>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</si>
  <si>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</si>
  <si>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</si>
  <si>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</si>
  <si>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</si>
  <si>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</si>
  <si>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</si>
  <si>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</si>
  <si>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</si>
  <si>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</si>
  <si>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</si>
  <si>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</si>
  <si>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</si>
  <si>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</si>
  <si>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</si>
  <si>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</si>
  <si>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</si>
  <si>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</si>
  <si>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</si>
  <si>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</si>
  <si>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</si>
  <si>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</si>
  <si>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</si>
  <si>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</si>
  <si>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</si>
  <si>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</si>
  <si>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</si>
  <si>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</si>
  <si>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</si>
  <si>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</si>
  <si>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</si>
  <si>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</si>
  <si>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</si>
  <si>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</si>
  <si>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</si>
  <si>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</si>
  <si>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</si>
  <si>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</si>
  <si>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</si>
  <si>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</si>
  <si>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</si>
  <si>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</si>
  <si>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</si>
  <si>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</si>
  <si>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</si>
  <si>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</si>
  <si>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</si>
  <si>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</si>
  <si>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</si>
  <si>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</si>
  <si>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</si>
  <si>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</si>
  <si>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</si>
  <si>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</si>
  <si>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</si>
  <si>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</si>
  <si>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</si>
  <si>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</si>
  <si>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</si>
  <si>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</si>
  <si>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</si>
  <si>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</si>
  <si>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</si>
  <si>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</si>
  <si>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</si>
  <si>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</si>
  <si>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</si>
  <si>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</si>
  <si>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</si>
  <si>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</si>
  <si>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</si>
  <si>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</si>
  <si>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</si>
  <si>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</si>
  <si>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</si>
  <si>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</si>
  <si>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</si>
  <si>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</si>
  <si>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</si>
  <si>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</si>
  <si>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</si>
  <si>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</si>
  <si>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</si>
  <si>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</si>
  <si>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</si>
  <si>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</si>
  <si>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</si>
  <si>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</si>
  <si>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</si>
  <si>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</si>
  <si>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</si>
  <si>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</si>
  <si>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</si>
  <si>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</si>
  <si>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</si>
  <si>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</si>
  <si>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</si>
  <si>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</si>
  <si>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</si>
  <si>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</si>
  <si>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</si>
  <si>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</si>
  <si>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</si>
  <si>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</si>
  <si>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</si>
  <si>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</si>
  <si>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</si>
  <si>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</si>
  <si>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</si>
  <si>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</si>
  <si>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</si>
  <si>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</si>
  <si>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</si>
  <si>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</si>
  <si>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</si>
  <si>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</si>
  <si>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</si>
  <si>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</si>
  <si>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</si>
  <si>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</si>
  <si>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</si>
  <si>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</si>
  <si>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</si>
  <si>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</si>
  <si>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</si>
  <si>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</si>
  <si>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</si>
  <si>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</si>
  <si>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</si>
  <si>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</si>
  <si>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</si>
  <si>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</si>
  <si>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</si>
  <si>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</si>
  <si>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</si>
  <si>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</si>
  <si>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</si>
  <si>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</si>
  <si>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</si>
  <si>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</si>
  <si>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</si>
  <si>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</si>
  <si>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</si>
  <si>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</si>
  <si>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</si>
  <si>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</si>
  <si>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</si>
  <si>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</si>
  <si>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</si>
  <si>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</si>
  <si>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</si>
  <si>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</si>
  <si>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</si>
  <si>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</si>
  <si>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</si>
  <si>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</si>
  <si>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</si>
  <si>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</si>
  <si>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</si>
  <si>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</si>
  <si>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</si>
  <si>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</si>
  <si>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</si>
  <si>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</si>
  <si>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</si>
  <si>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</si>
  <si>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</si>
  <si>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</si>
  <si>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</si>
  <si>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</si>
  <si>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</si>
  <si>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</si>
  <si>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</si>
  <si>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</si>
  <si>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</si>
  <si>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</si>
  <si>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</si>
  <si>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</si>
  <si>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</si>
  <si>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</si>
  <si>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</si>
  <si>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</si>
  <si>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</si>
  <si>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</si>
  <si>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</si>
  <si>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</si>
  <si>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</si>
  <si>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</si>
  <si>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</si>
  <si>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</si>
  <si>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</si>
  <si>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</si>
  <si>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</si>
  <si>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</si>
  <si>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</si>
  <si>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</si>
  <si>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</si>
  <si>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</si>
  <si>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</si>
  <si>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</si>
  <si>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</si>
  <si>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</si>
  <si>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</si>
  <si>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</si>
  <si>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</si>
  <si>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</si>
  <si>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</si>
  <si>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</si>
  <si>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</si>
  <si>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</si>
  <si>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</si>
  <si>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</si>
  <si>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</si>
  <si>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</si>
  <si>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</si>
  <si>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</si>
  <si>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</si>
  <si>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</si>
  <si>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</si>
  <si>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</si>
  <si>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</si>
  <si>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</si>
  <si>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</si>
  <si>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</si>
  <si>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</si>
  <si>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</si>
  <si>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</si>
  <si>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</si>
  <si>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</si>
  <si>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</si>
  <si>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</si>
  <si>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</si>
  <si>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</si>
  <si>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</si>
  <si>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</si>
  <si>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</si>
  <si>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</si>
  <si>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</si>
  <si>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</si>
  <si>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</si>
  <si>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</si>
  <si>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</si>
  <si>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</si>
  <si>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</si>
  <si>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</si>
  <si>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</si>
  <si>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</si>
  <si>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</si>
  <si>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</si>
  <si>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</si>
  <si>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</si>
  <si>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</si>
  <si>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</si>
  <si>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</si>
  <si>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</si>
  <si>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</si>
  <si>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</si>
  <si>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</si>
  <si>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</si>
  <si>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</si>
  <si>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</si>
  <si>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</si>
  <si>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</si>
  <si>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</si>
  <si>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</si>
  <si>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</si>
  <si>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</si>
  <si>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</si>
  <si>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</si>
  <si>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</si>
  <si>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</si>
  <si>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</si>
  <si>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</si>
  <si>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</si>
  <si>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</si>
  <si>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</si>
  <si>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</si>
  <si>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</si>
  <si>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</si>
  <si>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</si>
  <si>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</si>
  <si>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</si>
  <si>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</si>
  <si>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</si>
  <si>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</si>
  <si>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</si>
  <si>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</si>
  <si>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</si>
  <si>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</si>
  <si>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</si>
  <si>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</si>
  <si>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</si>
  <si>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</si>
  <si>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</si>
  <si>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</si>
  <si>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</si>
  <si>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</si>
  <si>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</si>
  <si>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</si>
  <si>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</si>
  <si>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</si>
  <si>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</si>
  <si>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</si>
  <si>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</si>
  <si>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</si>
  <si>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</si>
  <si>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</si>
  <si>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</si>
  <si>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</si>
  <si>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</si>
  <si>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</si>
  <si>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</si>
  <si>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</si>
  <si>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</si>
  <si>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</si>
  <si>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</si>
  <si>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</si>
  <si>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</si>
  <si>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</si>
  <si>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</si>
  <si>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</si>
  <si>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</si>
  <si>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</si>
  <si>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</si>
  <si>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</si>
  <si>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</si>
  <si>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</si>
  <si>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</si>
  <si>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</si>
  <si>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</si>
  <si>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</si>
  <si>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</si>
  <si>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</si>
  <si>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</si>
  <si>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</si>
  <si>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</si>
  <si>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</si>
  <si>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</si>
  <si>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</si>
  <si>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</si>
  <si>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</si>
  <si>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</si>
  <si>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</si>
  <si>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</si>
  <si>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</si>
  <si>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</si>
  <si>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</si>
  <si>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</si>
  <si>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</si>
  <si>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</si>
  <si>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</si>
  <si>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</si>
  <si>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</si>
  <si>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</si>
  <si>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</si>
  <si>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</si>
  <si>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</si>
  <si>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</si>
  <si>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</si>
  <si>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</si>
  <si>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</si>
  <si>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</si>
  <si>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</si>
  <si>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</si>
  <si>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</si>
  <si>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</si>
  <si>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</si>
  <si>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</si>
  <si>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</si>
  <si>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</si>
  <si>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</si>
  <si>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</si>
  <si>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</si>
  <si>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</si>
  <si>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</si>
  <si>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</si>
  <si>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</si>
  <si>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</si>
  <si>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</si>
  <si>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</si>
  <si>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</si>
  <si>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</si>
  <si>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</si>
  <si>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</si>
  <si>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</si>
  <si>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</si>
  <si>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</si>
  <si>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</si>
  <si>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</si>
  <si>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</si>
  <si>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</si>
  <si>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</si>
  <si>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</si>
  <si>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</si>
  <si>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</si>
  <si>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</si>
  <si>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</si>
  <si>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</si>
  <si>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</si>
  <si>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</si>
  <si>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</si>
  <si>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</si>
  <si>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</si>
  <si>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</si>
  <si>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</si>
  <si>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</si>
  <si>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</si>
  <si>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</si>
  <si>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</si>
  <si>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</si>
  <si>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</si>
  <si>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</si>
  <si>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</si>
  <si>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</si>
  <si>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</si>
  <si>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</si>
  <si>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</si>
  <si>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</si>
  <si>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</si>
  <si>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</si>
  <si>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</si>
  <si>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</si>
  <si>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</si>
  <si>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</si>
  <si>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</si>
  <si>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</si>
  <si>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</si>
  <si>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</si>
  <si>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</si>
  <si>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</si>
  <si>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</si>
  <si>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</si>
  <si>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</si>
  <si>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</si>
  <si>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</si>
  <si>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</si>
  <si>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</si>
  <si>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</si>
  <si>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</si>
  <si>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</si>
  <si>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</si>
  <si>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</si>
  <si>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</si>
  <si>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</si>
  <si>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</si>
  <si>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</si>
  <si>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</si>
  <si>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</si>
  <si>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</si>
  <si>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</si>
  <si>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</si>
  <si>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</si>
  <si>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</si>
  <si>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</si>
  <si>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</si>
  <si>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</si>
  <si>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</si>
  <si>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</si>
  <si>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</si>
  <si>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</si>
  <si>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</si>
  <si>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</si>
  <si>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</si>
  <si>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</si>
  <si>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</si>
  <si>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</si>
  <si>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</si>
  <si>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</si>
  <si>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</si>
  <si>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</si>
  <si>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</si>
  <si>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</si>
  <si>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</si>
  <si>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</si>
  <si>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</si>
  <si>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</si>
  <si>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</si>
  <si>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</si>
  <si>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</si>
  <si>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</si>
  <si>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</si>
  <si>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</si>
  <si>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</si>
  <si>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</si>
  <si>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</si>
  <si>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</si>
  <si>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</si>
  <si>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</si>
  <si>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</si>
  <si>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</si>
  <si>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</si>
  <si>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</si>
  <si>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</si>
  <si>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</si>
  <si>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</si>
  <si>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</si>
  <si>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</si>
  <si>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</si>
  <si>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</si>
  <si>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</si>
  <si>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</si>
  <si>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</si>
  <si>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</si>
  <si>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</si>
  <si>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</si>
  <si>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</si>
  <si>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</si>
  <si>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</si>
  <si>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</si>
  <si>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</si>
  <si>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</si>
  <si>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</si>
  <si>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</si>
  <si>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</si>
  <si>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</si>
  <si>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</si>
  <si>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</si>
  <si>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</si>
  <si>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</si>
  <si>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</si>
  <si>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</si>
  <si>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</si>
  <si>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</si>
  <si>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</si>
  <si>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</si>
  <si>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</si>
  <si>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</si>
  <si>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</si>
  <si>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</si>
  <si>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</si>
  <si>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</si>
  <si>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</si>
  <si>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</si>
  <si>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</si>
  <si>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</si>
  <si>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</si>
  <si>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</si>
  <si>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</si>
  <si>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</si>
  <si>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</si>
  <si>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</si>
  <si>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</si>
  <si>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</si>
  <si>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</si>
  <si>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</si>
  <si>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</si>
  <si>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</si>
  <si>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</si>
  <si>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</si>
  <si>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</si>
  <si>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</si>
  <si>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</si>
  <si>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</si>
  <si>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</si>
  <si>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</si>
  <si>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</si>
  <si>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</si>
  <si>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</si>
  <si>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</si>
  <si>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</si>
  <si>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</si>
  <si>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</si>
  <si>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</si>
  <si>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</si>
  <si>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</si>
  <si>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</si>
  <si>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</si>
  <si>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</si>
  <si>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</si>
  <si>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</si>
  <si>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</si>
  <si>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</si>
  <si>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</si>
  <si>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</si>
  <si>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</si>
  <si>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</si>
  <si>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</si>
  <si>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</si>
  <si>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</si>
  <si>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</si>
  <si>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</si>
  <si>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</si>
  <si>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</si>
  <si>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</si>
  <si>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</si>
  <si>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</si>
  <si>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</si>
  <si>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</si>
  <si>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</si>
  <si>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</si>
  <si>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</si>
  <si>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</si>
  <si>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</si>
  <si>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</si>
  <si>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</si>
  <si>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</si>
  <si>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</si>
  <si>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</si>
  <si>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</si>
  <si>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</si>
  <si>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</si>
  <si>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</si>
  <si>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</si>
  <si>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</si>
  <si>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</si>
  <si>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</si>
  <si>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</si>
  <si>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</si>
  <si>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</si>
  <si>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</si>
  <si>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</si>
  <si>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</si>
  <si>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</si>
  <si>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</si>
  <si>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</si>
  <si>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</si>
  <si>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</si>
  <si>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</si>
  <si>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</si>
  <si>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</si>
  <si>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</si>
  <si>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</si>
  <si>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</si>
  <si>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</si>
  <si>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</si>
  <si>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</si>
  <si>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</si>
  <si>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</si>
  <si>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</si>
  <si>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</si>
  <si>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</si>
  <si>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</si>
  <si>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</si>
  <si>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</si>
  <si>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</si>
  <si>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</si>
  <si>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</si>
  <si>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</si>
  <si>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</si>
  <si>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</si>
  <si>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</si>
  <si>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</si>
  <si>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</si>
  <si>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</si>
  <si>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</si>
  <si>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</si>
  <si>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</si>
  <si>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</si>
  <si>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</si>
  <si>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</si>
  <si>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</si>
  <si>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</si>
  <si>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</si>
  <si>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</si>
  <si>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</si>
  <si>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</si>
  <si>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</si>
  <si>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</si>
  <si>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</si>
  <si>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</si>
  <si>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</si>
  <si>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</si>
  <si>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</si>
  <si>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</si>
  <si>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</si>
  <si>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</si>
  <si>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</si>
  <si>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</si>
  <si>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</si>
  <si>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</si>
  <si>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</si>
  <si>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</si>
  <si>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</si>
  <si>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</si>
  <si>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</si>
  <si>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</si>
  <si>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</si>
  <si>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</si>
  <si>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</si>
  <si>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</si>
  <si>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</si>
  <si>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</si>
  <si>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</si>
  <si>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</si>
  <si>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</si>
  <si>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</si>
  <si>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</si>
  <si>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</si>
  <si>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</si>
  <si>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</si>
  <si>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</si>
  <si>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</si>
  <si>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</si>
  <si>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</si>
  <si>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</si>
  <si>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</si>
  <si>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</si>
  <si>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</si>
  <si>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</si>
  <si>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</si>
  <si>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</si>
  <si>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</si>
  <si>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</si>
  <si>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</si>
  <si>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</si>
  <si>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</si>
  <si>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</si>
  <si>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</si>
  <si>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</si>
  <si>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</si>
  <si>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</si>
  <si>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</si>
  <si>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</si>
  <si>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</si>
  <si>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</si>
  <si>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</si>
  <si>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</si>
  <si>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</si>
  <si>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</si>
  <si>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</si>
  <si>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</si>
  <si>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</si>
  <si>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</si>
  <si>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</si>
  <si>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</si>
  <si>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</si>
  <si>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</si>
  <si>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</si>
  <si>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</si>
  <si>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</si>
  <si>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</si>
  <si>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</si>
  <si>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</si>
  <si>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</si>
  <si>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</si>
  <si>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</si>
  <si>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</si>
  <si>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</si>
  <si>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</si>
  <si>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</si>
  <si>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</si>
  <si>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</si>
  <si>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</si>
  <si>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</si>
  <si>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</si>
  <si>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</si>
  <si>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</si>
  <si>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</si>
  <si>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</si>
  <si>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</si>
  <si>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</si>
  <si>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</si>
  <si>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</si>
  <si>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</si>
  <si>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</si>
  <si>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</si>
  <si>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</si>
  <si>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</si>
  <si>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</si>
  <si>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</si>
  <si>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</si>
  <si>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</si>
  <si>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</si>
  <si>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</si>
  <si>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</si>
  <si>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</si>
  <si>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</si>
  <si>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</si>
  <si>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</si>
  <si>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</si>
  <si>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</si>
  <si>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</si>
  <si>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</si>
  <si>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</si>
  <si>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</si>
  <si>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</si>
  <si>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</si>
  <si>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</si>
  <si>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</si>
  <si>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</si>
  <si>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</si>
  <si>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</si>
  <si>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</si>
  <si>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</si>
  <si>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</si>
  <si>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</si>
  <si>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</si>
  <si>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</si>
  <si>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</si>
  <si>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</si>
  <si>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</si>
  <si>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</si>
  <si>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</si>
  <si>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</si>
  <si>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</si>
  <si>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</si>
  <si>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</si>
  <si>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</si>
  <si>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</si>
  <si>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</si>
  <si>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</si>
  <si>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</si>
  <si>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</si>
  <si>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</si>
  <si>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</si>
  <si>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</si>
  <si>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</si>
  <si>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</si>
  <si>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</si>
  <si>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</si>
  <si>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</si>
  <si>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</si>
  <si>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</si>
  <si>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</si>
  <si>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</si>
  <si>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</si>
  <si>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</si>
  <si>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</si>
  <si>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</si>
  <si>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</si>
  <si>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</si>
  <si>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</si>
  <si>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</si>
  <si>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</si>
  <si>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</si>
  <si>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</si>
  <si>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</si>
  <si>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</si>
  <si>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</si>
  <si>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</si>
  <si>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</si>
  <si>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</si>
  <si>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</si>
  <si>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</si>
  <si>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</si>
  <si>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</si>
  <si>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</si>
  <si>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</si>
  <si>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</si>
  <si>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</si>
  <si>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</si>
  <si>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</si>
  <si>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</si>
  <si>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</si>
  <si>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</si>
  <si>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</si>
  <si>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</si>
  <si>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</si>
  <si>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</si>
  <si>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</si>
  <si>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</si>
  <si>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</si>
  <si>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</si>
  <si>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</si>
  <si>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</si>
  <si>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</si>
  <si>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</si>
  <si>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</si>
  <si>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</si>
  <si>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</si>
  <si>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</si>
  <si>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</si>
  <si>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</si>
  <si>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</si>
  <si>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</si>
  <si>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</si>
  <si>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</si>
  <si>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</si>
  <si>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</si>
  <si>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</si>
  <si>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</si>
  <si>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</si>
  <si>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</si>
  <si>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</si>
  <si>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</si>
  <si>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</si>
  <si>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</si>
  <si>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</si>
  <si>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</si>
  <si>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</si>
  <si>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</si>
  <si>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</si>
  <si>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</si>
  <si>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</si>
  <si>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</si>
  <si>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</si>
  <si>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</si>
  <si>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</si>
  <si>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</si>
  <si>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</si>
  <si>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</si>
  <si>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</si>
  <si>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</si>
  <si>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</si>
  <si>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</si>
  <si>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</si>
  <si>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</si>
  <si>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</si>
  <si>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</si>
  <si>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</si>
  <si>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</si>
  <si>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</si>
  <si>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</si>
  <si>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</si>
  <si>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</si>
  <si>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</si>
  <si>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</si>
  <si>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</si>
  <si>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</si>
  <si>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</si>
  <si>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</si>
  <si>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</si>
  <si>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</si>
  <si>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</si>
  <si>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</si>
  <si>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</si>
  <si>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</si>
  <si>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</si>
  <si>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</si>
  <si>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</si>
  <si>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</si>
  <si>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</si>
  <si>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</si>
  <si>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</si>
  <si>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</si>
  <si>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</si>
  <si>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</si>
  <si>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</si>
  <si>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</si>
  <si>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</si>
  <si>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</si>
  <si>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</si>
  <si>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</si>
  <si>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</si>
  <si>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</si>
  <si>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</si>
  <si>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</si>
  <si>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</si>
  <si>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</si>
  <si>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</si>
  <si>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</si>
  <si>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</si>
  <si>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</si>
  <si>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</si>
  <si>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</si>
  <si>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</si>
  <si>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</si>
  <si>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</si>
  <si>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</si>
  <si>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</si>
  <si>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</si>
  <si>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</si>
  <si>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</si>
  <si>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</si>
  <si>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</si>
  <si>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</si>
  <si>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</si>
  <si>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</si>
  <si>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</si>
  <si>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</si>
  <si>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</si>
  <si>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</si>
  <si>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</si>
  <si>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</si>
  <si>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</si>
  <si>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</si>
  <si>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</si>
  <si>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</si>
  <si>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</si>
  <si>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</si>
  <si>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</si>
  <si>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</si>
  <si>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</si>
  <si>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</si>
  <si>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</si>
  <si>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</si>
  <si>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</si>
  <si>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</si>
  <si>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</si>
  <si>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</si>
  <si>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</si>
  <si>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</si>
  <si>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</si>
  <si>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</si>
  <si>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</si>
  <si>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</si>
  <si>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</si>
  <si>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</si>
  <si>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</si>
  <si>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</si>
  <si>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</si>
  <si>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</si>
  <si>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</si>
  <si>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</si>
  <si>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</si>
  <si>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</si>
  <si>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</si>
  <si>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</si>
  <si>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</si>
  <si>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</si>
  <si>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</si>
  <si>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</si>
  <si>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</si>
  <si>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</si>
  <si>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</si>
  <si>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</si>
  <si>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</si>
  <si>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</si>
  <si>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</si>
  <si>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</si>
  <si>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</si>
  <si>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</si>
  <si>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</si>
  <si>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</si>
  <si>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</si>
  <si>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</si>
  <si>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</si>
  <si>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</si>
  <si>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</si>
  <si>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</si>
  <si>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</si>
  <si>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</si>
  <si>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</si>
  <si>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</si>
  <si>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</si>
  <si>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</si>
  <si>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</si>
  <si>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</si>
  <si>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</si>
  <si>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</si>
  <si>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</si>
  <si>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</si>
  <si>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</si>
  <si>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</si>
  <si>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</si>
  <si>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</si>
  <si>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</si>
  <si>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</si>
  <si>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</si>
  <si>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</si>
  <si>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</si>
  <si>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</si>
  <si>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</si>
  <si>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</si>
  <si>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</si>
  <si>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</si>
  <si>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</si>
  <si>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</si>
  <si>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</si>
  <si>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</si>
  <si>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</si>
  <si>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</si>
  <si>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</si>
  <si>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</si>
  <si>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</si>
  <si>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</si>
  <si>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</si>
  <si>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</si>
  <si>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</si>
  <si>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</si>
  <si>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</si>
  <si>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</si>
  <si>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</si>
  <si>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</si>
  <si>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</si>
  <si>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</si>
  <si>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</si>
  <si>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</si>
  <si>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</si>
  <si>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</si>
  <si>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</si>
  <si>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</si>
  <si>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</si>
  <si>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</si>
  <si>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</si>
  <si>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</si>
  <si>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</si>
  <si>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</si>
  <si>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</si>
  <si>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</si>
  <si>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</si>
  <si>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</si>
  <si>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</si>
  <si>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</si>
  <si>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</si>
  <si>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</si>
  <si>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</si>
  <si>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</si>
  <si>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</si>
  <si>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</si>
  <si>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</si>
  <si>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</si>
  <si>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</si>
  <si>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</si>
  <si>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</si>
  <si>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</si>
  <si>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</si>
  <si>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</si>
  <si>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</si>
  <si>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</si>
  <si>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</si>
  <si>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</si>
  <si>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</si>
  <si>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</si>
  <si>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</si>
  <si>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</si>
  <si>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</si>
  <si>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</si>
  <si>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</si>
  <si>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</si>
  <si>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</si>
  <si>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</si>
  <si>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</si>
  <si>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</si>
  <si>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</si>
  <si>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</si>
  <si>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</si>
  <si>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</si>
  <si>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</si>
  <si>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</si>
  <si>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</si>
  <si>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</si>
  <si>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</si>
  <si>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</si>
  <si>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</si>
  <si>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</si>
  <si>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</si>
  <si>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</si>
  <si>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</si>
  <si>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</si>
  <si>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</si>
  <si>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</si>
  <si>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</si>
  <si>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</si>
  <si>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</si>
  <si>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</si>
  <si>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</si>
  <si>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</si>
  <si>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</si>
  <si>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</si>
  <si>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</si>
  <si>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</si>
  <si>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</si>
  <si>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</si>
  <si>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</si>
  <si>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</si>
  <si>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</si>
  <si>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</si>
  <si>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</si>
  <si>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</si>
  <si>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</si>
  <si>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</si>
  <si>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</si>
  <si>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</si>
  <si>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</si>
  <si>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</si>
  <si>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</si>
  <si>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</si>
  <si>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</si>
  <si>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</si>
  <si>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</si>
  <si>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</si>
  <si>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</si>
  <si>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</si>
  <si>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</si>
  <si>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</si>
  <si>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</si>
  <si>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</si>
  <si>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</si>
  <si>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</si>
  <si>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</si>
  <si>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</si>
  <si>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</si>
  <si>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</si>
  <si>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</si>
  <si>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</si>
  <si>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</si>
  <si>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</si>
  <si>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</si>
  <si>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</si>
  <si>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</si>
  <si>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</si>
  <si>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</si>
  <si>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</si>
  <si>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</si>
  <si>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</si>
  <si>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</si>
  <si>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</si>
  <si>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</si>
  <si>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</si>
  <si>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</si>
  <si>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</si>
  <si>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</si>
  <si>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</si>
  <si>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</si>
  <si>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</si>
  <si>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</si>
  <si>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</si>
  <si>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</si>
  <si>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</si>
  <si>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</si>
  <si>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</si>
  <si>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</si>
  <si>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</si>
  <si>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</si>
  <si>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</si>
  <si>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</si>
  <si>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</si>
  <si>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</si>
  <si>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</si>
  <si>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</si>
  <si>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</si>
  <si>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</si>
  <si>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</si>
  <si>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</si>
  <si>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</si>
  <si>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</si>
  <si>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</si>
  <si>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</si>
  <si>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</si>
  <si>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</si>
  <si>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</si>
  <si>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</si>
  <si>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</si>
  <si>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</si>
  <si>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</si>
  <si>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</si>
  <si>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</si>
  <si>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</si>
  <si>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</si>
  <si>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</si>
  <si>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</si>
  <si>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</si>
  <si>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</si>
  <si>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</si>
  <si>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</si>
  <si>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</si>
  <si>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</si>
  <si>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</si>
  <si>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</si>
  <si>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</si>
  <si>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</si>
  <si>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</si>
  <si>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</si>
  <si>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</si>
  <si>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</si>
  <si>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</si>
  <si>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</si>
  <si>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</si>
  <si>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</si>
  <si>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</si>
  <si>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</si>
  <si>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</si>
  <si>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</si>
  <si>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</si>
  <si>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</si>
  <si>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</si>
  <si>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</si>
  <si>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</si>
  <si>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</si>
  <si>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</si>
  <si>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</si>
  <si>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</si>
  <si>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</si>
  <si>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</si>
  <si>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</si>
  <si>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</si>
  <si>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</si>
  <si>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</si>
  <si>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</si>
  <si>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</si>
  <si>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</si>
  <si>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</si>
  <si>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</si>
  <si>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</si>
  <si>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</si>
  <si>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</si>
  <si>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</si>
  <si>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</si>
  <si>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</si>
  <si>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</si>
  <si>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</si>
  <si>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</si>
  <si>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</si>
  <si>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</si>
  <si>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</si>
  <si>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</si>
  <si>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</si>
  <si>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</si>
  <si>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</si>
  <si>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</si>
  <si>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</si>
  <si>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</si>
  <si>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</si>
  <si>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</si>
  <si>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</si>
  <si>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</si>
  <si>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</si>
  <si>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</si>
  <si>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</si>
  <si>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</si>
  <si>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</si>
  <si>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</si>
  <si>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</si>
  <si>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</si>
  <si>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</si>
  <si>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</si>
  <si>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</si>
  <si>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</si>
  <si>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</si>
  <si>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</si>
  <si>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</si>
  <si>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</si>
  <si>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</si>
  <si>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</si>
  <si>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</si>
  <si>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</si>
  <si>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</si>
  <si>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</si>
  <si>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</si>
  <si>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</si>
  <si>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</si>
  <si>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</si>
  <si>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</si>
  <si>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</si>
  <si>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</si>
  <si>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</si>
  <si>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</si>
  <si>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</si>
  <si>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</si>
  <si>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</si>
  <si>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</si>
  <si>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</si>
  <si>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</si>
  <si>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</si>
  <si>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</si>
  <si>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</si>
  <si>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</si>
  <si>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</si>
  <si>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</si>
  <si>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</si>
  <si>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</si>
  <si>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</si>
  <si>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</si>
  <si>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</si>
  <si>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</si>
  <si>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</si>
  <si>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</si>
  <si>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</si>
  <si>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</si>
  <si>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</si>
  <si>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</si>
  <si>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</si>
  <si>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</si>
  <si>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</si>
  <si>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</si>
  <si>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</si>
  <si>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</si>
  <si>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</si>
  <si>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</si>
  <si>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</si>
  <si>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</si>
  <si>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</si>
  <si>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</si>
  <si>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</si>
  <si>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</si>
  <si>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</si>
  <si>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</si>
  <si>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</si>
  <si>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</si>
  <si>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</si>
  <si>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</si>
  <si>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</si>
  <si>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</si>
  <si>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</si>
  <si>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</si>
  <si>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</si>
  <si>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</si>
  <si>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</si>
  <si>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</si>
  <si>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</si>
  <si>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</si>
  <si>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</si>
  <si>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</si>
  <si>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</si>
  <si>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</si>
  <si>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</si>
  <si>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</si>
  <si>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</si>
  <si>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</si>
  <si>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</si>
  <si>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</si>
  <si>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</si>
  <si>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</si>
  <si>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</si>
  <si>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</si>
  <si>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</si>
  <si>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</si>
  <si>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</si>
  <si>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</si>
  <si>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</si>
  <si>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</si>
  <si>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</si>
  <si>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</si>
  <si>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</si>
  <si>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</si>
  <si>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</si>
  <si>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</si>
  <si>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</si>
  <si>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</si>
  <si>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</si>
  <si>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</si>
  <si>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</si>
  <si>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</si>
  <si>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</si>
  <si>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</si>
  <si>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</si>
  <si>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</si>
  <si>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</si>
  <si>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</si>
  <si>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</si>
  <si>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</si>
  <si>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</si>
  <si>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</si>
  <si>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</si>
  <si>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</si>
  <si>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</si>
  <si>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</si>
  <si>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</si>
  <si>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</si>
  <si>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</si>
  <si>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</si>
  <si>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</si>
  <si>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</si>
  <si>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</si>
  <si>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</si>
  <si>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</si>
  <si>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</si>
  <si>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</si>
  <si>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</si>
  <si>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</si>
  <si>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</si>
  <si>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</si>
  <si>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</si>
  <si>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</si>
  <si>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</si>
  <si>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</si>
  <si>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</si>
  <si>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</si>
  <si>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</si>
  <si>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</si>
  <si>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</si>
  <si>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</si>
  <si>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</si>
  <si>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</si>
  <si>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</si>
  <si>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</si>
  <si>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</si>
  <si>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</si>
  <si>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</si>
  <si>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</si>
  <si>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</si>
  <si>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</si>
  <si>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</si>
  <si>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</si>
  <si>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</si>
  <si>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</si>
  <si>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</si>
  <si>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</si>
  <si>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</si>
  <si>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</si>
  <si>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</si>
  <si>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</si>
  <si>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</si>
  <si>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</si>
  <si>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</si>
  <si>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</si>
  <si>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</si>
  <si>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</si>
  <si>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</si>
  <si>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</si>
  <si>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</si>
  <si>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</si>
  <si>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</si>
  <si>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</si>
  <si>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</si>
  <si>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</si>
  <si>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</si>
  <si>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</si>
  <si>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</si>
  <si>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</si>
  <si>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</si>
  <si>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</si>
  <si>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</si>
  <si>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</si>
  <si>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</si>
  <si>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</si>
  <si>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</si>
  <si>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</si>
  <si>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</si>
  <si>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</si>
  <si>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</si>
  <si>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</si>
  <si>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</si>
  <si>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</si>
  <si>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</si>
  <si>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</si>
  <si>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</si>
  <si>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</si>
  <si>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</si>
  <si>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</si>
  <si>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</si>
  <si>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</si>
  <si>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</si>
  <si>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</si>
  <si>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</si>
  <si>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</si>
  <si>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</si>
  <si>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</si>
  <si>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</si>
  <si>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</si>
  <si>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</si>
  <si>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</si>
  <si>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</si>
  <si>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</si>
  <si>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</si>
  <si>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</si>
  <si>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</si>
  <si>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</si>
  <si>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</si>
  <si>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</si>
  <si>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</si>
  <si>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</si>
  <si>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</si>
  <si>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</si>
  <si>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</si>
  <si>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</si>
  <si>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</si>
  <si>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</si>
  <si>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</si>
  <si>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</si>
  <si>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</si>
  <si>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</si>
  <si>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</si>
  <si>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</si>
  <si>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</si>
  <si>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</si>
  <si>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</si>
  <si>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</si>
  <si>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</si>
  <si>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</si>
  <si>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</si>
  <si>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</si>
  <si>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</si>
  <si>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</si>
  <si>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</si>
  <si>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</si>
  <si>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</si>
  <si>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</si>
  <si>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</si>
  <si>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</si>
  <si>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</si>
  <si>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</si>
  <si>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</si>
  <si>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</si>
  <si>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</si>
  <si>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</si>
  <si>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</si>
  <si>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</si>
  <si>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</si>
  <si>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</si>
  <si>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</si>
  <si>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</si>
  <si>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</si>
  <si>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</si>
  <si>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</si>
  <si>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</si>
  <si>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</si>
  <si>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</si>
  <si>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</si>
  <si>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</si>
  <si>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</si>
  <si>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</si>
  <si>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</si>
  <si>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</si>
  <si>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</si>
  <si>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</si>
  <si>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</si>
  <si>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</si>
  <si>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</si>
  <si>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</si>
  <si>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</si>
  <si>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</si>
  <si>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</si>
  <si>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</si>
  <si>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</si>
  <si>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</si>
  <si>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</si>
  <si>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</si>
  <si>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</si>
  <si>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</si>
  <si>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</si>
  <si>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</si>
  <si>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</si>
  <si>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</si>
  <si>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</si>
  <si>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</si>
  <si>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</si>
  <si>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</si>
  <si>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</si>
  <si>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</si>
  <si>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</si>
  <si>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</si>
  <si>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</si>
  <si>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</si>
  <si>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</si>
  <si>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</si>
  <si>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</si>
  <si>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</si>
  <si>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</si>
  <si>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</si>
  <si>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</si>
  <si>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</si>
  <si>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</si>
  <si>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</si>
  <si>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</si>
  <si>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</si>
  <si>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</si>
  <si>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</si>
  <si>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</si>
  <si>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</si>
  <si>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</si>
  <si>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</si>
  <si>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</si>
  <si>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</si>
  <si>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</si>
  <si>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</si>
  <si>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</si>
  <si>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</si>
  <si>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</si>
  <si>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</si>
  <si>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</si>
  <si>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</si>
  <si>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</si>
  <si>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</si>
  <si>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</si>
  <si>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</si>
  <si>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</si>
  <si>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</si>
  <si>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</si>
  <si>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</si>
  <si>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</si>
  <si>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</si>
  <si>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</si>
  <si>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</si>
  <si>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</si>
  <si>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</si>
  <si>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</si>
  <si>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</si>
  <si>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</si>
  <si>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</si>
  <si>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</si>
  <si>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</si>
  <si>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</si>
  <si>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</si>
  <si>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</si>
  <si>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</si>
  <si>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</si>
  <si>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</si>
  <si>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</si>
  <si>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</si>
  <si>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</si>
  <si>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</si>
  <si>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</si>
  <si>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</si>
  <si>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</si>
  <si>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</si>
  <si>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</si>
  <si>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</si>
  <si>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</si>
  <si>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</si>
  <si>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</si>
  <si>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</si>
  <si>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</si>
  <si>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</si>
  <si>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</si>
  <si>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</si>
  <si>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</si>
  <si>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</si>
  <si>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</si>
  <si>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</si>
  <si>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</si>
  <si>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</si>
  <si>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</si>
  <si>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</si>
  <si>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</si>
  <si>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</si>
  <si>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</si>
  <si>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</si>
  <si>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</si>
  <si>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</si>
  <si>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</si>
  <si>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</si>
  <si>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</si>
  <si>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</si>
  <si>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</si>
  <si>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</si>
  <si>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</si>
  <si>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</si>
  <si>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</si>
  <si>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</si>
  <si>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</si>
  <si>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</si>
  <si>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</si>
  <si>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</si>
  <si>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</si>
  <si>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</si>
  <si>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</si>
  <si>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</si>
  <si>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</si>
  <si>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</si>
  <si>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</si>
  <si>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</si>
  <si>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</si>
  <si>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</si>
  <si>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</si>
  <si>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</si>
  <si>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</si>
  <si>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</si>
  <si>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</si>
  <si>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</si>
  <si>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</si>
  <si>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</si>
  <si>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</si>
  <si>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</si>
  <si>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</si>
  <si>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</si>
  <si>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</si>
  <si>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</si>
  <si>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</si>
  <si>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</si>
  <si>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</si>
  <si>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</si>
  <si>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</si>
  <si>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</si>
  <si>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</si>
  <si>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</si>
  <si>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</si>
  <si>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</si>
  <si>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</si>
  <si>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</si>
  <si>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</si>
  <si>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</si>
  <si>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</si>
  <si>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</si>
  <si>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</si>
  <si>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</si>
  <si>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</si>
  <si>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</si>
  <si>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</si>
  <si>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</si>
  <si>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</si>
  <si>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</si>
  <si>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</si>
  <si>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</si>
  <si>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</si>
  <si>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</si>
  <si>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</si>
  <si>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</si>
  <si>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</si>
  <si>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</si>
  <si>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</si>
  <si>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</si>
  <si>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</si>
  <si>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</si>
  <si>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</si>
  <si>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</si>
  <si>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</si>
  <si>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</si>
  <si>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</si>
  <si>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</si>
  <si>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</si>
  <si>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</si>
  <si>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</si>
  <si>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</si>
  <si>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</si>
  <si>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</si>
  <si>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</si>
  <si>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</si>
  <si>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</si>
  <si>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</si>
  <si>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</si>
  <si>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</si>
  <si>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</si>
  <si>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</si>
  <si>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</si>
  <si>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</si>
  <si>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</si>
  <si>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</si>
  <si>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</si>
  <si>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</si>
  <si>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</si>
  <si>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</si>
  <si>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</si>
  <si>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</si>
  <si>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</si>
  <si>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</si>
  <si>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</si>
  <si>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</si>
  <si>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</si>
  <si>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</si>
  <si>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</si>
  <si>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</si>
  <si>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</si>
  <si>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</si>
  <si>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</si>
  <si>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</si>
  <si>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</si>
  <si>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</si>
  <si>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</si>
  <si>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</si>
  <si>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</si>
  <si>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</si>
  <si>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</si>
  <si>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</si>
  <si>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</si>
  <si>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</si>
  <si>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</si>
  <si>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</si>
  <si>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</si>
  <si>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</si>
  <si>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</si>
  <si>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</si>
  <si>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</si>
  <si>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</si>
  <si>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</si>
  <si>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</si>
  <si>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</si>
  <si>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</si>
  <si>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</si>
  <si>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</si>
  <si>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</si>
  <si>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</si>
  <si>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</si>
  <si>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</si>
  <si>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</si>
  <si>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</si>
  <si>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</si>
  <si>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</si>
  <si>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</si>
  <si>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</si>
  <si>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</si>
  <si>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</si>
  <si>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</si>
  <si>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</si>
  <si>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</si>
  <si>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</si>
  <si>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</si>
  <si>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</si>
  <si>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</si>
  <si>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</si>
  <si>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</si>
  <si>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</si>
  <si>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</si>
  <si>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</si>
  <si>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</si>
  <si>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</si>
  <si>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</si>
  <si>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</si>
  <si>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</si>
  <si>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</si>
  <si>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</si>
  <si>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</si>
  <si>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</si>
  <si>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</si>
  <si>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</si>
  <si>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</si>
  <si>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</si>
  <si>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</si>
  <si>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</si>
  <si>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</si>
  <si>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</si>
  <si>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</si>
  <si>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</si>
  <si>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</si>
  <si>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</si>
  <si>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</si>
  <si>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</si>
  <si>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</si>
  <si>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</si>
  <si>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</si>
  <si>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</si>
  <si>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</si>
  <si>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</si>
  <si>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</si>
  <si>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</si>
  <si>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</si>
  <si>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</si>
  <si>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</si>
  <si>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</si>
  <si>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</si>
  <si>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</si>
  <si>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</si>
  <si>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</si>
  <si>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</si>
  <si>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</si>
  <si>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</si>
  <si>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</si>
  <si>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</si>
  <si>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</si>
  <si>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</si>
  <si>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</si>
  <si>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</si>
  <si>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</si>
  <si>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</si>
  <si>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</si>
  <si>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</si>
  <si>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</si>
  <si>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</si>
  <si>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</si>
  <si>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</si>
  <si>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</si>
  <si>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</si>
  <si>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</si>
  <si>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</si>
  <si>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</si>
  <si>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</si>
  <si>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</si>
  <si>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</si>
  <si>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</si>
  <si>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</si>
  <si>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</si>
  <si>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</si>
  <si>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</si>
  <si>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</si>
  <si>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</si>
  <si>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</si>
  <si>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</si>
  <si>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</si>
  <si>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</si>
  <si>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</si>
  <si>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</si>
  <si>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</si>
  <si>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</si>
  <si>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</si>
  <si>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</si>
  <si>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</si>
  <si>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</si>
  <si>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</si>
  <si>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</si>
  <si>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</si>
  <si>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</si>
  <si>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</si>
  <si>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</si>
  <si>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</si>
  <si>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</si>
  <si>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</si>
  <si>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</si>
  <si>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</si>
  <si>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</si>
  <si>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</si>
  <si>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</si>
  <si>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</si>
  <si>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</si>
  <si>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</si>
  <si>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</si>
  <si>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</si>
  <si>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</si>
  <si>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</si>
  <si>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</si>
  <si>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</si>
  <si>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</si>
  <si>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</si>
  <si>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</si>
  <si>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</si>
  <si>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</si>
  <si>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</si>
  <si>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</si>
  <si>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</si>
  <si>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</si>
  <si>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</si>
  <si>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</si>
  <si>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</si>
  <si>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</si>
  <si>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</si>
  <si>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</si>
  <si>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</si>
  <si>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</si>
  <si>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</si>
  <si>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</si>
  <si>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</si>
  <si>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</si>
  <si>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</si>
  <si>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</si>
  <si>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</si>
  <si>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</si>
  <si>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</si>
  <si>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</si>
  <si>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</si>
  <si>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</si>
  <si>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</si>
  <si>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</si>
  <si>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</si>
  <si>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</si>
  <si>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</si>
  <si>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</si>
  <si>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</si>
  <si>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</si>
  <si>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</si>
  <si>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</si>
  <si>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</si>
  <si>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</si>
  <si>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</si>
  <si>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</si>
  <si>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</si>
  <si>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</si>
  <si>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</si>
  <si>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</si>
  <si>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</si>
  <si>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</si>
  <si>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</si>
  <si>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</si>
  <si>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</si>
  <si>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</si>
  <si>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</si>
  <si>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</si>
  <si>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</si>
  <si>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</si>
  <si>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</si>
  <si>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</si>
  <si>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</si>
  <si>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</si>
  <si>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</si>
  <si>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</si>
  <si>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</si>
  <si>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</si>
  <si>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</si>
  <si>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</si>
  <si>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</si>
  <si>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</si>
  <si>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</si>
  <si>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</si>
  <si>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</si>
  <si>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</si>
  <si>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</si>
  <si>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</si>
  <si>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</si>
  <si>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</si>
  <si>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</si>
  <si>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</si>
  <si>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</si>
  <si>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</si>
  <si>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</si>
  <si>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</si>
  <si>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</si>
  <si>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</si>
  <si>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</si>
  <si>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</si>
  <si>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</si>
  <si>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</si>
  <si>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</si>
  <si>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</si>
  <si>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</si>
  <si>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</si>
  <si>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</si>
  <si>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</si>
  <si>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</si>
  <si>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</si>
  <si>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</si>
  <si>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</si>
  <si>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</si>
  <si>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</si>
  <si>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</si>
  <si>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</si>
  <si>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</si>
  <si>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</si>
  <si>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</si>
  <si>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</si>
  <si>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</si>
  <si>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</si>
  <si>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</si>
  <si>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</si>
  <si>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</si>
  <si>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</si>
  <si>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</si>
  <si>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</si>
  <si>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</si>
  <si>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</si>
  <si>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</si>
  <si>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</si>
  <si>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</si>
  <si>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</si>
  <si>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</si>
  <si>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</si>
  <si>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</si>
  <si>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</si>
  <si>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</si>
  <si>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</si>
  <si>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</si>
  <si>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</si>
  <si>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</si>
  <si>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</si>
  <si>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</si>
  <si>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</si>
  <si>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</si>
  <si>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</si>
  <si>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</si>
  <si>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</si>
  <si>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</si>
  <si>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</si>
  <si>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</si>
  <si>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</si>
  <si>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</si>
  <si>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</si>
  <si>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</si>
  <si>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</si>
  <si>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</si>
  <si>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</si>
  <si>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</si>
  <si>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</si>
  <si>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</si>
  <si>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</si>
  <si>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</si>
  <si>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</si>
  <si>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</si>
  <si>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</si>
  <si>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</si>
  <si>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</si>
  <si>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</si>
  <si>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</si>
  <si>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</si>
  <si>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</si>
  <si>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</si>
  <si>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</si>
  <si>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</si>
  <si>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</si>
  <si>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</si>
  <si>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</si>
  <si>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</si>
  <si>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</si>
  <si>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</si>
  <si>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</si>
  <si>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</si>
  <si>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</si>
  <si>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</si>
  <si>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</si>
  <si>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</si>
  <si>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</si>
  <si>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</si>
  <si>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</si>
  <si>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</si>
  <si>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</si>
  <si>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</si>
  <si>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</si>
  <si>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</si>
  <si>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</si>
  <si>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</si>
  <si>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</si>
  <si>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</si>
  <si>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</si>
  <si>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</si>
  <si>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</si>
  <si>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</si>
  <si>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</si>
  <si>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</si>
  <si>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</si>
  <si>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</si>
  <si>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</si>
  <si>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</si>
  <si>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</si>
  <si>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</si>
  <si>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</si>
  <si>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</si>
  <si>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</si>
  <si>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</si>
  <si>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</si>
  <si>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</si>
  <si>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</si>
  <si>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</si>
  <si>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</si>
  <si>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</si>
  <si>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</si>
  <si>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</si>
  <si>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</si>
  <si>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</si>
  <si>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</si>
  <si>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</si>
  <si>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</si>
  <si>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</si>
  <si>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</si>
  <si>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</si>
  <si>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</si>
  <si>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</si>
  <si>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</si>
  <si>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</si>
  <si>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</si>
  <si>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</si>
  <si>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</si>
  <si>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</si>
  <si>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</si>
  <si>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</si>
  <si>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</si>
  <si>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</si>
  <si>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</si>
  <si>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</si>
  <si>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</si>
  <si>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</si>
  <si>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</si>
  <si>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</si>
  <si>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</si>
  <si>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</si>
  <si>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</si>
  <si>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</si>
  <si>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</si>
  <si>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</si>
  <si>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</si>
  <si>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</si>
  <si>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</si>
  <si>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</si>
  <si>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</si>
  <si>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</si>
  <si>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</si>
  <si>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</si>
  <si>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</si>
  <si>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</si>
  <si>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</si>
  <si>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</si>
  <si>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</si>
  <si>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</si>
  <si>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</si>
  <si>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</si>
  <si>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</si>
  <si>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</si>
  <si>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</si>
  <si>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</si>
  <si>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</si>
  <si>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</si>
  <si>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</si>
  <si>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</si>
  <si>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</si>
  <si>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</si>
  <si>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</si>
  <si>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</si>
  <si>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</si>
  <si>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</si>
  <si>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</si>
  <si>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</si>
  <si>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</si>
  <si>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</si>
  <si>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</si>
  <si>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</si>
  <si>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</si>
  <si>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</si>
  <si>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</si>
  <si>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</si>
  <si>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</si>
  <si>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</si>
  <si>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</si>
  <si>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</si>
  <si>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</si>
  <si>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</si>
  <si>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</si>
  <si>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</si>
  <si>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</si>
  <si>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</si>
  <si>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</si>
  <si>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</si>
  <si>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</si>
  <si>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</si>
  <si>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</si>
  <si>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</si>
  <si>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</si>
  <si>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</si>
  <si>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</si>
  <si>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</si>
  <si>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</si>
  <si>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</si>
  <si>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</si>
  <si>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</si>
  <si>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</si>
  <si>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</si>
  <si>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</si>
  <si>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</si>
  <si>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</si>
  <si>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</si>
  <si>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</si>
  <si>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</si>
  <si>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</si>
  <si>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</si>
  <si>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</si>
  <si>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</si>
  <si>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</si>
  <si>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</si>
  <si>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</si>
  <si>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</si>
  <si>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</si>
  <si>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</si>
  <si>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</si>
  <si>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</si>
  <si>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</si>
  <si>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</si>
  <si>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</si>
  <si>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</si>
  <si>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</si>
  <si>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</si>
  <si>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</si>
  <si>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</si>
  <si>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</si>
  <si>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</si>
  <si>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</si>
  <si>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</si>
  <si>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</si>
  <si>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</si>
  <si>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</si>
  <si>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</si>
  <si>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</si>
  <si>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</si>
  <si>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</si>
  <si>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</si>
  <si>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</si>
  <si>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</si>
  <si>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</si>
  <si>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</si>
  <si>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</si>
  <si>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</si>
  <si>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</si>
  <si>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</si>
  <si>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</si>
  <si>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</si>
  <si>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</si>
  <si>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</si>
  <si>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</si>
  <si>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</si>
  <si>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</si>
  <si>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</si>
  <si>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</si>
  <si>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</si>
  <si>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</si>
  <si>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</si>
  <si>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</si>
  <si>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</si>
  <si>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</si>
  <si>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</si>
  <si>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</si>
  <si>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</si>
  <si>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</si>
  <si>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</si>
  <si>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</si>
  <si>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</si>
  <si>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</si>
  <si>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</si>
  <si>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</si>
  <si>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</si>
  <si>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</si>
  <si>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</si>
  <si>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</si>
  <si>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</si>
  <si>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</si>
  <si>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</si>
  <si>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</si>
  <si>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</si>
  <si>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</si>
  <si>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</si>
  <si>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</si>
  <si>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</si>
  <si>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</si>
  <si>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</si>
  <si>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</si>
  <si>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</si>
  <si>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</si>
  <si>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</si>
  <si>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</si>
  <si>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</si>
  <si>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</si>
  <si>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</si>
  <si>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</si>
  <si>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</si>
  <si>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</si>
  <si>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</si>
  <si>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</si>
  <si>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</si>
  <si>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</si>
  <si>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</si>
  <si>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</si>
  <si>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</si>
  <si>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</si>
  <si>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</si>
  <si>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</si>
  <si>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</si>
  <si>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</si>
  <si>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</si>
  <si>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</si>
  <si>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</si>
  <si>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</si>
  <si>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</si>
  <si>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</si>
  <si>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</si>
  <si>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</si>
  <si>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</si>
  <si>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</si>
  <si>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</si>
  <si>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</si>
  <si>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</si>
  <si>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</si>
  <si>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</si>
  <si>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</si>
  <si>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</si>
  <si>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</si>
  <si>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</si>
  <si>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</si>
  <si>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</si>
  <si>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</si>
  <si>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</si>
  <si>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</si>
  <si>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</si>
  <si>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</si>
  <si>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</si>
  <si>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</si>
  <si>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</si>
  <si>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</si>
  <si>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</si>
  <si>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</si>
  <si>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</si>
  <si>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</si>
  <si>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</si>
  <si>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</si>
  <si>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</si>
  <si>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</si>
  <si>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</si>
  <si>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</si>
  <si>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</si>
  <si>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</si>
  <si>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</si>
  <si>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</si>
  <si>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</si>
  <si>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</si>
  <si>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</si>
  <si>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</si>
  <si>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</si>
  <si>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</si>
  <si>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</si>
  <si>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</si>
  <si>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</si>
  <si>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</si>
  <si>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</si>
  <si>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</si>
  <si>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</si>
  <si>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</si>
  <si>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</si>
  <si>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</si>
  <si>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</si>
  <si>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</si>
  <si>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</si>
  <si>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</si>
  <si>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</si>
  <si>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</si>
  <si>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</si>
  <si>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</si>
  <si>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</si>
  <si>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</si>
  <si>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</si>
  <si>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</si>
  <si>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</si>
  <si>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</si>
  <si>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</si>
  <si>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</si>
  <si>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</si>
  <si>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</si>
  <si>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</si>
  <si>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</si>
  <si>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</si>
  <si>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</si>
  <si>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</si>
  <si>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</si>
  <si>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</si>
  <si>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</si>
  <si>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</si>
  <si>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</si>
  <si>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</si>
  <si>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</si>
  <si>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</si>
  <si>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</si>
  <si>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</si>
  <si>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</si>
  <si>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</si>
  <si>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</si>
  <si>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</si>
  <si>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</si>
  <si>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</si>
  <si>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</si>
  <si>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</si>
  <si>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</si>
  <si>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</si>
  <si>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</si>
  <si>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</si>
  <si>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</si>
  <si>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</si>
  <si>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</si>
  <si>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</si>
  <si>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</si>
  <si>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</si>
  <si>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</si>
  <si>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</si>
  <si>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</si>
  <si>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</si>
  <si>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</si>
  <si>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</si>
  <si>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</si>
  <si>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</si>
  <si>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</si>
  <si>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</si>
  <si>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</si>
  <si>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</si>
  <si>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</si>
  <si>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</si>
  <si>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</si>
  <si>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</si>
  <si>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</si>
  <si>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</si>
  <si>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</si>
  <si>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</si>
  <si>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</si>
  <si>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</si>
  <si>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</si>
  <si>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</si>
  <si>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</si>
  <si>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</si>
  <si>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</si>
  <si>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</si>
  <si>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</si>
  <si>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</si>
  <si>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</si>
  <si>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</si>
  <si>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</si>
  <si>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</si>
  <si>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</si>
  <si>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</si>
  <si>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</si>
  <si>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</si>
  <si>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</si>
  <si>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</si>
  <si>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</si>
  <si>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</si>
  <si>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</si>
  <si>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</si>
  <si>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</si>
  <si>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</si>
  <si>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</si>
  <si>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</si>
  <si>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</si>
  <si>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</si>
  <si>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</si>
  <si>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</si>
  <si>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</si>
  <si>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</si>
  <si>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</si>
  <si>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</si>
  <si>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</si>
  <si>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</si>
  <si>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</si>
  <si>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</si>
  <si>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</si>
  <si>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</si>
  <si>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</si>
  <si>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</si>
  <si>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</si>
  <si>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</si>
  <si>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</si>
  <si>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</si>
  <si>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</si>
  <si>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</si>
  <si>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</si>
  <si>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</si>
  <si>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</si>
  <si>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</si>
  <si>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</si>
  <si>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</si>
  <si>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</si>
  <si>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</si>
  <si>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</si>
  <si>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</si>
  <si>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</si>
  <si>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</si>
  <si>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</si>
  <si>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</si>
  <si>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</si>
  <si>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</si>
  <si>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</si>
  <si>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</si>
  <si>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</si>
  <si>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</si>
  <si>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</si>
  <si>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</si>
  <si>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</si>
  <si>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</si>
  <si>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</si>
  <si>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</si>
  <si>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</si>
  <si>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</si>
  <si>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</si>
  <si>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</si>
  <si>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</si>
  <si>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</si>
  <si>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</si>
  <si>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</si>
  <si>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</si>
  <si>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</si>
  <si>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</si>
  <si>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</si>
  <si>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</si>
  <si>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</si>
  <si>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</si>
  <si>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</si>
  <si>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</si>
  <si>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</si>
  <si>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</si>
  <si>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</si>
  <si>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</si>
  <si>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</si>
  <si>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</si>
  <si>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</si>
  <si>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</si>
  <si>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</si>
  <si>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</si>
  <si>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</si>
  <si>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</si>
  <si>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</si>
  <si>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</si>
  <si>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</si>
  <si>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</si>
  <si>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</si>
  <si>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</si>
  <si>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</si>
  <si>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</si>
  <si>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</si>
  <si>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</si>
  <si>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</si>
  <si>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</si>
  <si>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</si>
  <si>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</si>
  <si>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</si>
  <si>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</si>
  <si>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</si>
  <si>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</si>
  <si>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</si>
  <si>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</si>
  <si>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</si>
  <si>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</si>
  <si>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</si>
  <si>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</si>
  <si>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</si>
  <si>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</si>
  <si>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</si>
  <si>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</si>
  <si>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</si>
  <si>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</si>
  <si>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</si>
  <si>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</si>
  <si>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</si>
  <si>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</si>
  <si>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</si>
  <si>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</si>
  <si>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</si>
  <si>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</si>
  <si>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</si>
  <si>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</si>
  <si>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</si>
  <si>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</si>
  <si>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</si>
  <si>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</si>
  <si>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</si>
  <si>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</si>
  <si>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</si>
  <si>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</si>
  <si>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</si>
  <si>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</si>
  <si>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</si>
  <si>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</si>
  <si>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</si>
  <si>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</si>
  <si>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</si>
  <si>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</si>
  <si>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</si>
  <si>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</si>
  <si>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</si>
  <si>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</si>
  <si>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</si>
  <si>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</si>
  <si>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</si>
  <si>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</si>
  <si>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</si>
  <si>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</si>
  <si>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</si>
  <si>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</si>
  <si>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</si>
  <si>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</si>
  <si>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</si>
  <si>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</si>
  <si>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</si>
  <si>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</si>
  <si>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</si>
  <si>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</si>
  <si>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</si>
  <si>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</si>
  <si>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</si>
  <si>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</si>
  <si>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</si>
  <si>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</si>
  <si>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</si>
  <si>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</si>
  <si>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</si>
  <si>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</si>
  <si>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</si>
  <si>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</si>
  <si>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</si>
  <si>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</si>
  <si>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</si>
  <si>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</si>
  <si>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</si>
  <si>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</si>
  <si>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</si>
  <si>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</si>
  <si>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</si>
  <si>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</si>
  <si>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</si>
  <si>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</si>
  <si>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</si>
  <si>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</si>
  <si>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</si>
  <si>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</si>
  <si>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</si>
  <si>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</si>
  <si>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</si>
  <si>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</si>
  <si>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</si>
  <si>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</si>
  <si>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</si>
  <si>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</si>
  <si>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</si>
  <si>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</si>
  <si>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</si>
  <si>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</si>
  <si>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</si>
  <si>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</si>
  <si>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</si>
  <si>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</si>
  <si>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</si>
  <si>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</si>
  <si>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</si>
  <si>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</si>
  <si>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</si>
  <si>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</si>
  <si>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</si>
  <si>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</si>
  <si>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</si>
  <si>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</si>
  <si>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</si>
  <si>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</si>
  <si>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</si>
  <si>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</si>
  <si>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</si>
  <si>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</si>
  <si>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</si>
  <si>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</si>
  <si>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</si>
  <si>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</si>
  <si>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</si>
  <si>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</si>
  <si>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</si>
  <si>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</si>
  <si>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</si>
  <si>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</si>
  <si>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</si>
  <si>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</si>
  <si>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</si>
  <si>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</si>
  <si>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</si>
  <si>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</si>
  <si>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</si>
  <si>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</si>
  <si>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</si>
  <si>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</si>
  <si>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</si>
  <si>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</si>
  <si>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</si>
  <si>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</si>
  <si>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</si>
  <si>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</si>
  <si>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</si>
  <si>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</si>
  <si>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</si>
  <si>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</si>
  <si>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</si>
  <si>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</si>
  <si>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</si>
  <si>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</si>
  <si>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</si>
  <si>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</si>
  <si>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</si>
  <si>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</si>
  <si>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</si>
  <si>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</si>
  <si>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</si>
  <si>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</si>
  <si>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</si>
  <si>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</si>
  <si>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</si>
  <si>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</si>
  <si>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</si>
  <si>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</si>
  <si>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</si>
  <si>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</si>
  <si>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</si>
  <si>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</si>
  <si>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</si>
  <si>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</si>
  <si>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</si>
  <si>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</si>
  <si>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</si>
  <si>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</si>
  <si>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</si>
  <si>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</si>
  <si>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</si>
  <si>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</si>
  <si>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</si>
  <si>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</si>
  <si>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</si>
  <si>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</si>
  <si>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</si>
  <si>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</si>
  <si>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</si>
  <si>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</si>
  <si>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</si>
  <si>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</si>
  <si>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</si>
  <si>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</si>
  <si>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</si>
  <si>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</si>
  <si>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</si>
  <si>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</si>
  <si>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</si>
  <si>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</si>
  <si>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</si>
  <si>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</si>
  <si>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</si>
  <si>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</si>
  <si>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</si>
  <si>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</si>
  <si>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</si>
  <si>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</si>
  <si>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</si>
  <si>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</si>
  <si>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</si>
  <si>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</si>
  <si>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</si>
  <si>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</si>
  <si>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</si>
  <si>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</si>
  <si>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</si>
  <si>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</si>
  <si>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</si>
  <si>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</si>
  <si>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</si>
  <si>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</si>
  <si>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</si>
  <si>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</si>
  <si>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</si>
  <si>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</si>
  <si>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</si>
  <si>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</si>
  <si>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</si>
  <si>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</si>
  <si>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</si>
  <si>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</si>
  <si>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</si>
  <si>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</si>
  <si>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</si>
  <si>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</si>
  <si>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</si>
  <si>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</si>
  <si>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</si>
  <si>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</si>
  <si>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</si>
  <si>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</si>
  <si>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</si>
  <si>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</si>
  <si>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</si>
  <si>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</si>
  <si>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</si>
  <si>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</si>
  <si>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</si>
  <si>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</si>
  <si>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</si>
  <si>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</si>
  <si>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</si>
  <si>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</si>
  <si>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</si>
  <si>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</si>
  <si>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</si>
  <si>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</si>
  <si>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</si>
  <si>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</si>
  <si>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</si>
  <si>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</si>
  <si>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</si>
  <si>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</si>
  <si>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</si>
  <si>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</si>
  <si>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</si>
  <si>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</si>
  <si>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</si>
  <si>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</si>
  <si>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</si>
  <si>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</si>
  <si>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</si>
  <si>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</si>
  <si>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</si>
  <si>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</si>
  <si>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</si>
  <si>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</si>
  <si>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</si>
  <si>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</si>
  <si>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</si>
  <si>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</si>
  <si>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</si>
  <si>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</si>
  <si>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</si>
  <si>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</si>
  <si>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</si>
  <si>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</si>
  <si>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</si>
  <si>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</si>
  <si>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</si>
  <si>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</si>
  <si>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</si>
  <si>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</si>
  <si>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</si>
  <si>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</si>
  <si>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</si>
  <si>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</si>
  <si>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</si>
  <si>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</si>
  <si>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</si>
  <si>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</si>
  <si>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</si>
  <si>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</si>
  <si>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</si>
  <si>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</si>
  <si>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</si>
  <si>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</si>
  <si>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</si>
  <si>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</si>
  <si>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</si>
  <si>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</si>
  <si>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</si>
  <si>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</si>
  <si>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</si>
  <si>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</si>
  <si>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</si>
  <si>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</si>
  <si>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</si>
  <si>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</si>
  <si>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</si>
  <si>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</si>
  <si>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</si>
  <si>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</si>
  <si>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</si>
  <si>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</si>
  <si>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</si>
  <si>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</si>
  <si>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</si>
  <si>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</si>
  <si>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</si>
  <si>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</si>
  <si>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</si>
  <si>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</si>
  <si>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</si>
  <si>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</si>
  <si>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</si>
  <si>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</si>
  <si>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</si>
  <si>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</si>
  <si>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</si>
  <si>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</si>
  <si>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</si>
  <si>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</si>
  <si>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</si>
  <si>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</si>
  <si>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</si>
  <si>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</si>
  <si>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</si>
  <si>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</si>
  <si>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</si>
  <si>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</si>
  <si>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</si>
  <si>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</si>
  <si>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</si>
  <si>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</si>
  <si>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</si>
  <si>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</si>
  <si>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</si>
  <si>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</si>
  <si>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</si>
  <si>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</si>
  <si>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</si>
  <si>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</si>
  <si>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</si>
  <si>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</si>
  <si>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</si>
  <si>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</si>
  <si>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</si>
  <si>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</si>
  <si>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</si>
  <si>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</si>
  <si>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</si>
  <si>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</si>
  <si>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</si>
  <si>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</si>
  <si>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</si>
  <si>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</si>
  <si>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</si>
  <si>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</si>
  <si>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</si>
  <si>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</si>
  <si>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</si>
  <si>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</si>
  <si>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</si>
  <si>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</si>
  <si>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</si>
  <si>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</si>
  <si>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</si>
  <si>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</si>
  <si>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</si>
  <si>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</si>
  <si>
    <t>Average Unit Price</t>
  </si>
  <si>
    <t>Average Shipping Cost</t>
  </si>
  <si>
    <t>Total orders</t>
  </si>
  <si>
    <t>Largest Individual Profit</t>
  </si>
  <si>
    <t>Largest Individual Loss</t>
  </si>
  <si>
    <t>Orders From Each region</t>
  </si>
  <si>
    <t>Total Large Quantity Orders</t>
  </si>
  <si>
    <t>Total Small Quanity Order Amount</t>
  </si>
  <si>
    <t>Orderer Names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</si>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</sst>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44" fontId="0" fillId="0" borderId="0" xfId="0" applyNumberFormat="1"/>
    <xf numFmtId="44" fontId="0" fillId="0" borderId="0" xfId="2" applyFont="1"/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baseColWidth="10" defaultColWidth="8.796875" defaultRowHeight="13"/>
  <cols>
    <col min="1" max="1" width="7.19921875" bestFit="1" customWidth="1"/>
    <col min="2" max="2" width="12.3984375" bestFit="1" customWidth="1"/>
    <col min="3" max="3" width="8.3984375" style="4" bestFit="1" customWidth="1"/>
    <col min="4" max="4" width="10.796875" style="8" bestFit="1" customWidth="1"/>
    <col min="5" max="5" width="12.796875" style="4" bestFit="1" customWidth="1"/>
    <col min="6" max="6" width="11.3984375" bestFit="1" customWidth="1"/>
    <col min="7" max="7" width="26.3984375" bestFit="1" customWidth="1"/>
    <col min="8" max="8" width="13.3984375" bestFit="1" customWidth="1"/>
    <col min="9" max="9" width="17.3984375" bestFit="1" customWidth="1"/>
    <col min="10" max="10" width="16" bestFit="1" customWidth="1"/>
    <col min="11" max="11" width="29.3984375" bestFit="1" customWidth="1"/>
    <col min="12" max="12" width="16.3984375" bestFit="1" customWidth="1"/>
    <col min="13" max="13" width="92.3984375" bestFit="1" customWidth="1"/>
    <col min="14" max="14" width="19.19921875" style="5" bestFit="1" customWidth="1"/>
    <col min="15" max="15" width="19.19921875" customWidth="1"/>
    <col min="16" max="16" width="7.3984375" bestFit="1" customWidth="1"/>
    <col min="17" max="17" width="17.3984375" bestFit="1" customWidth="1"/>
    <col min="18" max="18" width="19.3984375" bestFit="1" customWidth="1"/>
    <col min="19" max="19" width="11.3984375" style="7" bestFit="1" customWidth="1"/>
    <col min="20" max="20" width="26" style="3" bestFit="1" customWidth="1"/>
    <col min="21" max="21" width="10.19921875" bestFit="1" customWidth="1"/>
    <col min="22" max="22" width="12.3984375" style="4" bestFit="1" customWidth="1"/>
    <col min="23" max="23" width="19.3984375" bestFit="1" customWidth="1"/>
    <col min="24" max="24" width="10" bestFit="1" customWidth="1"/>
    <col min="25" max="25" width="8.796875" style="7"/>
  </cols>
  <sheetData>
    <row r="1" spans="1:25">
      <c r="A1" t="s">
        <v>0</v>
      </c>
      <c r="B1" t="s">
        <v>1</v>
      </c>
      <c r="C1" s="4" t="s">
        <v>2</v>
      </c>
      <c r="D1" s="8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t="s">
        <v>14</v>
      </c>
      <c r="P1" t="s">
        <v>15</v>
      </c>
      <c r="Q1" t="s">
        <v>16</v>
      </c>
      <c r="R1" t="s">
        <v>17</v>
      </c>
      <c r="S1" s="7" t="s">
        <v>18</v>
      </c>
      <c r="T1" s="3" t="s">
        <v>19</v>
      </c>
      <c r="U1" s="3" t="s">
        <v>20</v>
      </c>
      <c r="V1" s="4" t="s">
        <v>21</v>
      </c>
      <c r="W1" t="s">
        <v>22</v>
      </c>
      <c r="X1" t="s">
        <v>23</v>
      </c>
      <c r="Y1" s="6" t="s">
        <v>24</v>
      </c>
    </row>
    <row r="2" spans="1:25" ht="12.75" customHeight="1">
      <c r="A2">
        <v>20847</v>
      </c>
      <c r="B2" t="s">
        <v>25</v>
      </c>
      <c r="C2" s="4">
        <v>0.01</v>
      </c>
      <c r="D2" s="8">
        <v>2.84</v>
      </c>
      <c r="E2" s="4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s="5">
        <v>0.54</v>
      </c>
      <c r="O2" t="s">
        <v>33</v>
      </c>
      <c r="P2" t="s">
        <v>34</v>
      </c>
      <c r="Q2" t="s">
        <v>35</v>
      </c>
      <c r="R2" t="s">
        <v>36</v>
      </c>
      <c r="S2" s="7">
        <v>98221</v>
      </c>
      <c r="T2" s="3">
        <v>42011</v>
      </c>
      <c r="U2" s="3">
        <v>42012</v>
      </c>
      <c r="V2" s="4">
        <v>4.5599999999999996</v>
      </c>
      <c r="W2">
        <v>4</v>
      </c>
      <c r="X2">
        <v>13.01</v>
      </c>
      <c r="Y2" s="7">
        <v>88522</v>
      </c>
    </row>
    <row r="3" spans="1:25" ht="12.75" customHeight="1">
      <c r="A3">
        <v>20228</v>
      </c>
      <c r="B3" t="s">
        <v>37</v>
      </c>
      <c r="C3" s="4">
        <v>0.02</v>
      </c>
      <c r="D3" s="8">
        <v>500.98</v>
      </c>
      <c r="E3" s="4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s="5">
        <v>0.6</v>
      </c>
      <c r="O3" t="s">
        <v>33</v>
      </c>
      <c r="P3" t="s">
        <v>34</v>
      </c>
      <c r="Q3" t="s">
        <v>45</v>
      </c>
      <c r="R3" t="s">
        <v>46</v>
      </c>
      <c r="S3" s="7">
        <v>91776</v>
      </c>
      <c r="T3" s="3">
        <v>42168</v>
      </c>
      <c r="U3" s="3">
        <v>42170</v>
      </c>
      <c r="V3" s="4">
        <v>4390.3665000000001</v>
      </c>
      <c r="W3">
        <v>12</v>
      </c>
      <c r="X3">
        <v>6362.85</v>
      </c>
      <c r="Y3" s="7">
        <v>90193</v>
      </c>
    </row>
    <row r="4" spans="1:25" ht="12.75" customHeight="1">
      <c r="A4">
        <v>21776</v>
      </c>
      <c r="B4" t="s">
        <v>47</v>
      </c>
      <c r="C4" s="4">
        <v>0.06</v>
      </c>
      <c r="D4" s="8">
        <v>9.48</v>
      </c>
      <c r="E4" s="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 s="5">
        <v>0.45</v>
      </c>
      <c r="O4" t="s">
        <v>33</v>
      </c>
      <c r="P4" t="s">
        <v>53</v>
      </c>
      <c r="Q4" t="s">
        <v>54</v>
      </c>
      <c r="R4" t="s">
        <v>55</v>
      </c>
      <c r="S4" s="7">
        <v>7203</v>
      </c>
      <c r="T4" s="3">
        <v>42050</v>
      </c>
      <c r="U4" s="3">
        <v>42052</v>
      </c>
      <c r="V4" s="4">
        <v>-53.809600000000003</v>
      </c>
      <c r="W4">
        <v>22</v>
      </c>
      <c r="X4">
        <v>211.15</v>
      </c>
      <c r="Y4" s="7">
        <v>90192</v>
      </c>
    </row>
    <row r="5" spans="1:25" ht="12.75" customHeight="1">
      <c r="A5">
        <v>24844</v>
      </c>
      <c r="B5" t="s">
        <v>56</v>
      </c>
      <c r="C5" s="4">
        <v>0.09</v>
      </c>
      <c r="D5" s="8">
        <v>78.69</v>
      </c>
      <c r="E5" s="4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 s="5">
        <v>0.43</v>
      </c>
      <c r="O5" t="s">
        <v>33</v>
      </c>
      <c r="P5" t="s">
        <v>61</v>
      </c>
      <c r="Q5" t="s">
        <v>62</v>
      </c>
      <c r="R5" t="s">
        <v>63</v>
      </c>
      <c r="S5" s="7">
        <v>55372</v>
      </c>
      <c r="T5" s="3">
        <v>42136</v>
      </c>
      <c r="U5" s="3">
        <v>42138</v>
      </c>
      <c r="V5" s="4">
        <v>803.47050000000002</v>
      </c>
      <c r="W5">
        <v>16</v>
      </c>
      <c r="X5">
        <v>1164.45</v>
      </c>
      <c r="Y5" s="7">
        <v>86838</v>
      </c>
    </row>
    <row r="6" spans="1:25" ht="12.75" customHeight="1">
      <c r="A6">
        <v>24846</v>
      </c>
      <c r="B6" t="s">
        <v>56</v>
      </c>
      <c r="C6" s="4">
        <v>0.08</v>
      </c>
      <c r="D6" s="8">
        <v>3.28</v>
      </c>
      <c r="E6" s="4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 s="5">
        <v>0.56000000000000005</v>
      </c>
      <c r="O6" t="s">
        <v>33</v>
      </c>
      <c r="P6" t="s">
        <v>61</v>
      </c>
      <c r="Q6" t="s">
        <v>62</v>
      </c>
      <c r="R6" t="s">
        <v>63</v>
      </c>
      <c r="S6" s="7">
        <v>55372</v>
      </c>
      <c r="T6" s="3">
        <v>42136</v>
      </c>
      <c r="U6" s="3">
        <v>42137</v>
      </c>
      <c r="V6" s="4">
        <v>-24.03</v>
      </c>
      <c r="W6">
        <v>7</v>
      </c>
      <c r="X6">
        <v>22.23</v>
      </c>
      <c r="Y6" s="7">
        <v>86838</v>
      </c>
    </row>
    <row r="7" spans="1:25" ht="12.75" customHeight="1">
      <c r="A7">
        <v>24847</v>
      </c>
      <c r="B7" t="s">
        <v>56</v>
      </c>
      <c r="C7" s="4">
        <v>0.05</v>
      </c>
      <c r="D7" s="8">
        <v>3.28</v>
      </c>
      <c r="E7" s="4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 s="5">
        <v>0.56000000000000005</v>
      </c>
      <c r="O7" t="s">
        <v>33</v>
      </c>
      <c r="P7" t="s">
        <v>61</v>
      </c>
      <c r="Q7" t="s">
        <v>62</v>
      </c>
      <c r="R7" t="s">
        <v>63</v>
      </c>
      <c r="S7" s="7">
        <v>55372</v>
      </c>
      <c r="T7" s="3">
        <v>42136</v>
      </c>
      <c r="U7" s="3">
        <v>42137</v>
      </c>
      <c r="V7" s="4">
        <v>-37.03</v>
      </c>
      <c r="W7">
        <v>4</v>
      </c>
      <c r="X7">
        <v>13.99</v>
      </c>
      <c r="Y7" s="7">
        <v>86838</v>
      </c>
    </row>
    <row r="8" spans="1:25" ht="12.75" customHeight="1">
      <c r="A8">
        <v>24848</v>
      </c>
      <c r="B8" t="s">
        <v>56</v>
      </c>
      <c r="C8" s="4">
        <v>0.05</v>
      </c>
      <c r="D8" s="8">
        <v>3.58</v>
      </c>
      <c r="E8" s="4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 s="5">
        <v>0.36</v>
      </c>
      <c r="O8" t="s">
        <v>33</v>
      </c>
      <c r="P8" t="s">
        <v>61</v>
      </c>
      <c r="Q8" t="s">
        <v>62</v>
      </c>
      <c r="R8" t="s">
        <v>63</v>
      </c>
      <c r="S8" s="7">
        <v>55372</v>
      </c>
      <c r="T8" s="3">
        <v>42136</v>
      </c>
      <c r="U8" s="3">
        <v>42137</v>
      </c>
      <c r="V8" s="4">
        <v>-0.71</v>
      </c>
      <c r="W8">
        <v>4</v>
      </c>
      <c r="X8">
        <v>14.26</v>
      </c>
      <c r="Y8" s="7">
        <v>86838</v>
      </c>
    </row>
    <row r="9" spans="1:25" ht="12.75" customHeight="1">
      <c r="A9">
        <v>18181</v>
      </c>
      <c r="B9" t="s">
        <v>47</v>
      </c>
      <c r="C9" s="4">
        <v>0</v>
      </c>
      <c r="D9" s="8">
        <v>4.42</v>
      </c>
      <c r="E9" s="4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 s="5">
        <v>0.38</v>
      </c>
      <c r="O9" t="s">
        <v>33</v>
      </c>
      <c r="P9" t="s">
        <v>53</v>
      </c>
      <c r="Q9" t="s">
        <v>71</v>
      </c>
      <c r="R9" t="s">
        <v>72</v>
      </c>
      <c r="S9" s="7">
        <v>11787</v>
      </c>
      <c r="T9" s="3">
        <v>42102</v>
      </c>
      <c r="U9" s="3">
        <v>42103</v>
      </c>
      <c r="V9" s="4">
        <v>-59.82</v>
      </c>
      <c r="W9">
        <v>7</v>
      </c>
      <c r="X9">
        <v>33.47</v>
      </c>
      <c r="Y9" s="7">
        <v>86837</v>
      </c>
    </row>
    <row r="10" spans="1:25" ht="12.75" customHeight="1">
      <c r="A10">
        <v>20925</v>
      </c>
      <c r="B10" t="s">
        <v>56</v>
      </c>
      <c r="C10" s="4">
        <v>0.01</v>
      </c>
      <c r="D10" s="8">
        <v>35.94</v>
      </c>
      <c r="E10" s="4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 s="5">
        <v>0.4</v>
      </c>
      <c r="O10" t="s">
        <v>33</v>
      </c>
      <c r="P10" t="s">
        <v>53</v>
      </c>
      <c r="Q10" t="s">
        <v>71</v>
      </c>
      <c r="R10" t="s">
        <v>72</v>
      </c>
      <c r="S10" s="7">
        <v>11787</v>
      </c>
      <c r="T10" s="3">
        <v>42152</v>
      </c>
      <c r="U10" s="3">
        <v>42152</v>
      </c>
      <c r="V10" s="4">
        <v>261.87569999999994</v>
      </c>
      <c r="W10">
        <v>10</v>
      </c>
      <c r="X10">
        <v>379.53</v>
      </c>
      <c r="Y10" s="7">
        <v>86839</v>
      </c>
    </row>
    <row r="11" spans="1:25" ht="12.75" customHeight="1">
      <c r="A11">
        <v>26267</v>
      </c>
      <c r="B11" t="s">
        <v>25</v>
      </c>
      <c r="C11" s="4">
        <v>0.04</v>
      </c>
      <c r="D11" s="8">
        <v>2.98</v>
      </c>
      <c r="E11" s="4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 s="5">
        <v>0.39</v>
      </c>
      <c r="O11" t="s">
        <v>33</v>
      </c>
      <c r="P11" t="s">
        <v>53</v>
      </c>
      <c r="Q11" t="s">
        <v>71</v>
      </c>
      <c r="R11" t="s">
        <v>76</v>
      </c>
      <c r="S11" s="7">
        <v>13210</v>
      </c>
      <c r="T11" s="3">
        <v>42047</v>
      </c>
      <c r="U11" s="3">
        <v>42050</v>
      </c>
      <c r="V11" s="4">
        <v>2.63</v>
      </c>
      <c r="W11">
        <v>6</v>
      </c>
      <c r="X11">
        <v>18.8</v>
      </c>
      <c r="Y11" s="7">
        <v>86836</v>
      </c>
    </row>
    <row r="12" spans="1:25" ht="12.75" customHeight="1">
      <c r="A12">
        <v>26268</v>
      </c>
      <c r="B12" t="s">
        <v>25</v>
      </c>
      <c r="C12" s="4">
        <v>0.05</v>
      </c>
      <c r="D12" s="8">
        <v>115.99</v>
      </c>
      <c r="E12" s="4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 s="5">
        <v>0.55000000000000004</v>
      </c>
      <c r="O12" t="s">
        <v>33</v>
      </c>
      <c r="P12" t="s">
        <v>53</v>
      </c>
      <c r="Q12" t="s">
        <v>71</v>
      </c>
      <c r="R12" t="s">
        <v>76</v>
      </c>
      <c r="S12" s="7">
        <v>13210</v>
      </c>
      <c r="T12" s="3">
        <v>42047</v>
      </c>
      <c r="U12" s="3">
        <v>42049</v>
      </c>
      <c r="V12" s="4">
        <v>652.73309999999992</v>
      </c>
      <c r="W12">
        <v>10</v>
      </c>
      <c r="X12">
        <v>945.99</v>
      </c>
      <c r="Y12" s="7">
        <v>86836</v>
      </c>
    </row>
    <row r="13" spans="1:25" ht="12.75" customHeight="1">
      <c r="A13">
        <v>23890</v>
      </c>
      <c r="B13" t="s">
        <v>25</v>
      </c>
      <c r="C13" s="4">
        <v>0.05</v>
      </c>
      <c r="D13" s="8">
        <v>26.48</v>
      </c>
      <c r="E13" s="4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 s="5">
        <v>0.49</v>
      </c>
      <c r="O13" t="s">
        <v>33</v>
      </c>
      <c r="P13" t="s">
        <v>34</v>
      </c>
      <c r="Q13" t="s">
        <v>82</v>
      </c>
      <c r="R13" t="s">
        <v>83</v>
      </c>
      <c r="S13" s="7">
        <v>59601</v>
      </c>
      <c r="T13" s="3">
        <v>42139</v>
      </c>
      <c r="U13" s="3">
        <v>42140</v>
      </c>
      <c r="V13" s="4">
        <v>314.48129999999998</v>
      </c>
      <c r="W13">
        <v>17</v>
      </c>
      <c r="X13">
        <v>455.77</v>
      </c>
      <c r="Y13" s="7">
        <v>90031</v>
      </c>
    </row>
    <row r="14" spans="1:25" ht="12.75" customHeight="1">
      <c r="A14">
        <v>24063</v>
      </c>
      <c r="B14" t="s">
        <v>37</v>
      </c>
      <c r="C14" s="4">
        <v>7.0000000000000007E-2</v>
      </c>
      <c r="D14" s="8">
        <v>12.99</v>
      </c>
      <c r="E14" s="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 s="5">
        <v>0.39</v>
      </c>
      <c r="O14" t="s">
        <v>33</v>
      </c>
      <c r="P14" t="s">
        <v>34</v>
      </c>
      <c r="Q14" t="s">
        <v>82</v>
      </c>
      <c r="R14" t="s">
        <v>88</v>
      </c>
      <c r="S14" s="7">
        <v>59801</v>
      </c>
      <c r="T14" s="3">
        <v>42145</v>
      </c>
      <c r="U14" s="3">
        <v>42147</v>
      </c>
      <c r="V14" s="4">
        <v>-114.63990000000001</v>
      </c>
      <c r="W14">
        <v>18</v>
      </c>
      <c r="X14">
        <v>231.79</v>
      </c>
      <c r="Y14" s="7">
        <v>90032</v>
      </c>
    </row>
    <row r="15" spans="1:25" ht="12.75" customHeight="1">
      <c r="A15">
        <v>5890</v>
      </c>
      <c r="B15" t="s">
        <v>25</v>
      </c>
      <c r="C15" s="4">
        <v>0.05</v>
      </c>
      <c r="D15" s="8">
        <v>26.48</v>
      </c>
      <c r="E15" s="4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 s="5">
        <v>0.49</v>
      </c>
      <c r="O15" t="s">
        <v>33</v>
      </c>
      <c r="P15" t="s">
        <v>53</v>
      </c>
      <c r="Q15" t="s">
        <v>71</v>
      </c>
      <c r="R15" t="s">
        <v>90</v>
      </c>
      <c r="S15" s="7">
        <v>10012</v>
      </c>
      <c r="T15" s="3">
        <v>42139</v>
      </c>
      <c r="U15" s="3">
        <v>42140</v>
      </c>
      <c r="V15" s="4">
        <v>384.38</v>
      </c>
      <c r="W15">
        <v>70</v>
      </c>
      <c r="X15">
        <v>1876.69</v>
      </c>
      <c r="Y15" s="7">
        <v>41793</v>
      </c>
    </row>
    <row r="16" spans="1:25" ht="12.75" customHeight="1">
      <c r="A16">
        <v>6062</v>
      </c>
      <c r="B16" t="s">
        <v>37</v>
      </c>
      <c r="C16" s="4">
        <v>0.08</v>
      </c>
      <c r="D16" s="8">
        <v>5</v>
      </c>
      <c r="E16" s="4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 s="5">
        <v>0.37</v>
      </c>
      <c r="O16" t="s">
        <v>33</v>
      </c>
      <c r="P16" t="s">
        <v>53</v>
      </c>
      <c r="Q16" t="s">
        <v>71</v>
      </c>
      <c r="R16" t="s">
        <v>90</v>
      </c>
      <c r="S16" s="7">
        <v>10012</v>
      </c>
      <c r="T16" s="3">
        <v>42145</v>
      </c>
      <c r="U16" s="3">
        <v>42146</v>
      </c>
      <c r="V16" s="4">
        <v>-17.489999999999998</v>
      </c>
      <c r="W16">
        <v>58</v>
      </c>
      <c r="X16">
        <v>293.06</v>
      </c>
      <c r="Y16" s="7">
        <v>42949</v>
      </c>
    </row>
    <row r="17" spans="1:25" ht="12.75" customHeight="1">
      <c r="A17">
        <v>6063</v>
      </c>
      <c r="B17" t="s">
        <v>37</v>
      </c>
      <c r="C17" s="4">
        <v>7.0000000000000007E-2</v>
      </c>
      <c r="D17" s="8">
        <v>12.99</v>
      </c>
      <c r="E17" s="4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 s="5">
        <v>0.39</v>
      </c>
      <c r="O17" t="s">
        <v>33</v>
      </c>
      <c r="P17" t="s">
        <v>53</v>
      </c>
      <c r="Q17" t="s">
        <v>71</v>
      </c>
      <c r="R17" t="s">
        <v>90</v>
      </c>
      <c r="S17" s="7">
        <v>10012</v>
      </c>
      <c r="T17" s="3">
        <v>42145</v>
      </c>
      <c r="U17" s="3">
        <v>42147</v>
      </c>
      <c r="V17" s="4">
        <v>-114.63990000000001</v>
      </c>
      <c r="W17">
        <v>71</v>
      </c>
      <c r="X17">
        <v>914.29</v>
      </c>
      <c r="Y17" s="7">
        <v>42949</v>
      </c>
    </row>
    <row r="18" spans="1:25" ht="12.75" customHeight="1">
      <c r="A18">
        <v>20631</v>
      </c>
      <c r="B18" t="s">
        <v>25</v>
      </c>
      <c r="C18" s="4">
        <v>0.06</v>
      </c>
      <c r="D18" s="8">
        <v>55.48</v>
      </c>
      <c r="E18" s="4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 s="5">
        <v>0.37</v>
      </c>
      <c r="O18" t="s">
        <v>33</v>
      </c>
      <c r="P18" t="s">
        <v>34</v>
      </c>
      <c r="Q18" t="s">
        <v>45</v>
      </c>
      <c r="R18" t="s">
        <v>95</v>
      </c>
      <c r="S18" s="7">
        <v>92677</v>
      </c>
      <c r="T18" s="3">
        <v>42032</v>
      </c>
      <c r="U18" s="3">
        <v>42033</v>
      </c>
      <c r="V18" s="4">
        <v>-28.296800000000001</v>
      </c>
      <c r="W18">
        <v>1</v>
      </c>
      <c r="X18">
        <v>67.489999999999995</v>
      </c>
      <c r="Y18" s="7">
        <v>87651</v>
      </c>
    </row>
    <row r="19" spans="1:25" ht="12.75" customHeight="1">
      <c r="A19">
        <v>20632</v>
      </c>
      <c r="B19" t="s">
        <v>25</v>
      </c>
      <c r="C19" s="4">
        <v>0.02</v>
      </c>
      <c r="D19" s="8">
        <v>1.68</v>
      </c>
      <c r="E19" s="4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 s="5">
        <v>0.59</v>
      </c>
      <c r="O19" t="s">
        <v>33</v>
      </c>
      <c r="P19" t="s">
        <v>34</v>
      </c>
      <c r="Q19" t="s">
        <v>45</v>
      </c>
      <c r="R19" t="s">
        <v>95</v>
      </c>
      <c r="S19" s="7">
        <v>92677</v>
      </c>
      <c r="T19" s="3">
        <v>42032</v>
      </c>
      <c r="U19" s="3">
        <v>42034</v>
      </c>
      <c r="V19" s="4">
        <v>-5.3071999999999999</v>
      </c>
      <c r="W19">
        <v>1</v>
      </c>
      <c r="X19">
        <v>2.25</v>
      </c>
      <c r="Y19" s="7">
        <v>87651</v>
      </c>
    </row>
    <row r="20" spans="1:25" ht="12.75" customHeight="1">
      <c r="A20">
        <v>23967</v>
      </c>
      <c r="B20" t="s">
        <v>37</v>
      </c>
      <c r="C20" s="4">
        <v>0.04</v>
      </c>
      <c r="D20" s="8">
        <v>4.1399999999999997</v>
      </c>
      <c r="E20" s="4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 s="5">
        <v>0.49</v>
      </c>
      <c r="O20" t="s">
        <v>33</v>
      </c>
      <c r="P20" t="s">
        <v>34</v>
      </c>
      <c r="Q20" t="s">
        <v>45</v>
      </c>
      <c r="R20" t="s">
        <v>99</v>
      </c>
      <c r="S20" s="7">
        <v>90712</v>
      </c>
      <c r="T20" s="3">
        <v>42126</v>
      </c>
      <c r="U20" s="3">
        <v>42128</v>
      </c>
      <c r="V20" s="4">
        <v>8.8940000000000055</v>
      </c>
      <c r="W20">
        <v>12</v>
      </c>
      <c r="X20">
        <v>54.78</v>
      </c>
      <c r="Y20" s="7">
        <v>87652</v>
      </c>
    </row>
    <row r="21" spans="1:25" ht="12.75" customHeight="1">
      <c r="A21">
        <v>23509</v>
      </c>
      <c r="B21" t="s">
        <v>25</v>
      </c>
      <c r="C21" s="4">
        <v>0.08</v>
      </c>
      <c r="D21" s="8">
        <v>34.99</v>
      </c>
      <c r="E21" s="4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 s="5">
        <v>0.59</v>
      </c>
      <c r="O21" t="s">
        <v>33</v>
      </c>
      <c r="P21" t="s">
        <v>34</v>
      </c>
      <c r="Q21" t="s">
        <v>102</v>
      </c>
      <c r="R21" t="s">
        <v>103</v>
      </c>
      <c r="S21" s="7">
        <v>97526</v>
      </c>
      <c r="T21" s="3">
        <v>42057</v>
      </c>
      <c r="U21" s="3">
        <v>42058</v>
      </c>
      <c r="V21" s="4">
        <v>144.69</v>
      </c>
      <c r="W21">
        <v>13</v>
      </c>
      <c r="X21">
        <v>424.68</v>
      </c>
      <c r="Y21" s="7">
        <v>89199</v>
      </c>
    </row>
    <row r="22" spans="1:25" ht="12.75" customHeight="1">
      <c r="A22">
        <v>23612</v>
      </c>
      <c r="B22" t="s">
        <v>25</v>
      </c>
      <c r="C22" s="4">
        <v>0.01</v>
      </c>
      <c r="D22" s="8">
        <v>17.98</v>
      </c>
      <c r="E22" s="4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 s="5">
        <v>0.4</v>
      </c>
      <c r="O22" t="s">
        <v>33</v>
      </c>
      <c r="P22" t="s">
        <v>34</v>
      </c>
      <c r="Q22" t="s">
        <v>102</v>
      </c>
      <c r="R22" t="s">
        <v>103</v>
      </c>
      <c r="S22" s="7">
        <v>97526</v>
      </c>
      <c r="T22" s="3">
        <v>42090</v>
      </c>
      <c r="U22" s="3">
        <v>42091</v>
      </c>
      <c r="V22" s="4">
        <v>-35.878799999999998</v>
      </c>
      <c r="W22">
        <v>2</v>
      </c>
      <c r="X22">
        <v>40.17</v>
      </c>
      <c r="Y22" s="7">
        <v>89200</v>
      </c>
    </row>
    <row r="23" spans="1:25" ht="12.75" customHeight="1">
      <c r="A23">
        <v>23278</v>
      </c>
      <c r="B23" t="s">
        <v>56</v>
      </c>
      <c r="C23" s="4">
        <v>0.09</v>
      </c>
      <c r="D23" s="8">
        <v>125.99</v>
      </c>
      <c r="E23" s="4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 s="5">
        <v>0.59</v>
      </c>
      <c r="O23" t="s">
        <v>33</v>
      </c>
      <c r="P23" t="s">
        <v>34</v>
      </c>
      <c r="Q23" t="s">
        <v>102</v>
      </c>
      <c r="R23" t="s">
        <v>103</v>
      </c>
      <c r="S23" s="7">
        <v>97526</v>
      </c>
      <c r="T23" s="3">
        <v>42024</v>
      </c>
      <c r="U23" s="3">
        <v>42026</v>
      </c>
      <c r="V23" s="4">
        <v>209.99700000000001</v>
      </c>
      <c r="W23">
        <v>8</v>
      </c>
      <c r="X23">
        <v>783.55</v>
      </c>
      <c r="Y23" s="7">
        <v>89202</v>
      </c>
    </row>
    <row r="24" spans="1:25" ht="12.75" customHeight="1">
      <c r="A24">
        <v>19355</v>
      </c>
      <c r="B24" t="s">
        <v>106</v>
      </c>
      <c r="C24" s="4">
        <v>0.06</v>
      </c>
      <c r="D24" s="8">
        <v>205.99</v>
      </c>
      <c r="E24" s="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 s="5">
        <v>0.56000000000000005</v>
      </c>
      <c r="O24" t="s">
        <v>33</v>
      </c>
      <c r="P24" t="s">
        <v>34</v>
      </c>
      <c r="Q24" t="s">
        <v>102</v>
      </c>
      <c r="R24" t="s">
        <v>103</v>
      </c>
      <c r="S24" s="7">
        <v>97526</v>
      </c>
      <c r="T24" s="3">
        <v>42075</v>
      </c>
      <c r="U24" s="3">
        <v>42082</v>
      </c>
      <c r="V24" s="4">
        <v>3568.096</v>
      </c>
      <c r="W24">
        <v>22</v>
      </c>
      <c r="X24">
        <v>3838.14</v>
      </c>
      <c r="Y24" s="7">
        <v>89203</v>
      </c>
    </row>
    <row r="25" spans="1:25" ht="12.75" customHeight="1">
      <c r="A25">
        <v>23654</v>
      </c>
      <c r="B25" t="s">
        <v>37</v>
      </c>
      <c r="C25" s="4">
        <v>0.03</v>
      </c>
      <c r="D25" s="8">
        <v>4.24</v>
      </c>
      <c r="E25" s="4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 s="5">
        <v>0.35</v>
      </c>
      <c r="O25" t="s">
        <v>33</v>
      </c>
      <c r="P25" t="s">
        <v>34</v>
      </c>
      <c r="Q25" t="s">
        <v>102</v>
      </c>
      <c r="R25" t="s">
        <v>111</v>
      </c>
      <c r="S25" s="7">
        <v>97030</v>
      </c>
      <c r="T25" s="3">
        <v>42170</v>
      </c>
      <c r="U25" s="3">
        <v>42172</v>
      </c>
      <c r="V25" s="4">
        <v>-84.437600000000003</v>
      </c>
      <c r="W25">
        <v>13</v>
      </c>
      <c r="X25">
        <v>58.68</v>
      </c>
      <c r="Y25" s="7">
        <v>89201</v>
      </c>
    </row>
    <row r="26" spans="1:25" ht="12.75" customHeight="1">
      <c r="A26">
        <v>23655</v>
      </c>
      <c r="B26" t="s">
        <v>37</v>
      </c>
      <c r="C26" s="4">
        <v>0.04</v>
      </c>
      <c r="D26" s="8">
        <v>2.94</v>
      </c>
      <c r="E26" s="4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 s="5">
        <v>0.57999999999999996</v>
      </c>
      <c r="O26" t="s">
        <v>33</v>
      </c>
      <c r="P26" t="s">
        <v>34</v>
      </c>
      <c r="Q26" t="s">
        <v>102</v>
      </c>
      <c r="R26" t="s">
        <v>111</v>
      </c>
      <c r="S26" s="7">
        <v>97030</v>
      </c>
      <c r="T26" s="3">
        <v>42170</v>
      </c>
      <c r="U26" s="3">
        <v>42171</v>
      </c>
      <c r="V26" s="4">
        <v>24.312000000000001</v>
      </c>
      <c r="W26">
        <v>18</v>
      </c>
      <c r="X26">
        <v>53.1</v>
      </c>
      <c r="Y26" s="7">
        <v>89201</v>
      </c>
    </row>
    <row r="27" spans="1:25" ht="12.75" customHeight="1">
      <c r="A27">
        <v>25933</v>
      </c>
      <c r="B27" t="s">
        <v>25</v>
      </c>
      <c r="C27" s="4">
        <v>0</v>
      </c>
      <c r="D27" s="8">
        <v>99.99</v>
      </c>
      <c r="E27" s="4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 s="5">
        <v>0.52</v>
      </c>
      <c r="O27" t="s">
        <v>33</v>
      </c>
      <c r="P27" t="s">
        <v>34</v>
      </c>
      <c r="Q27" t="s">
        <v>35</v>
      </c>
      <c r="R27" t="s">
        <v>116</v>
      </c>
      <c r="S27" s="7">
        <v>98052</v>
      </c>
      <c r="T27" s="3">
        <v>42134</v>
      </c>
      <c r="U27" s="3">
        <v>42135</v>
      </c>
      <c r="V27" s="4">
        <v>25.913820000000015</v>
      </c>
      <c r="W27">
        <v>6</v>
      </c>
      <c r="X27">
        <v>647.07000000000005</v>
      </c>
      <c r="Y27" s="7">
        <v>91454</v>
      </c>
    </row>
    <row r="28" spans="1:25" ht="12.75" customHeight="1">
      <c r="A28">
        <v>18551</v>
      </c>
      <c r="B28" t="s">
        <v>37</v>
      </c>
      <c r="C28" s="4">
        <v>0</v>
      </c>
      <c r="D28" s="8">
        <v>115.99</v>
      </c>
      <c r="E28" s="4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 s="5">
        <v>0.56999999999999995</v>
      </c>
      <c r="O28" t="s">
        <v>33</v>
      </c>
      <c r="P28" t="s">
        <v>34</v>
      </c>
      <c r="Q28" t="s">
        <v>35</v>
      </c>
      <c r="R28" t="s">
        <v>119</v>
      </c>
      <c r="S28" s="7">
        <v>98373</v>
      </c>
      <c r="T28" s="3">
        <v>42073</v>
      </c>
      <c r="U28" s="3">
        <v>42073</v>
      </c>
      <c r="V28" s="4">
        <v>162.666</v>
      </c>
      <c r="W28">
        <v>6</v>
      </c>
      <c r="X28">
        <v>627.04</v>
      </c>
      <c r="Y28" s="7">
        <v>88426</v>
      </c>
    </row>
    <row r="29" spans="1:25" ht="12.75" customHeight="1">
      <c r="A29">
        <v>22117</v>
      </c>
      <c r="B29" t="s">
        <v>47</v>
      </c>
      <c r="C29" s="4">
        <v>7.0000000000000007E-2</v>
      </c>
      <c r="D29" s="8">
        <v>3502.14</v>
      </c>
      <c r="E29" s="4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 s="5">
        <v>0.56999999999999995</v>
      </c>
      <c r="O29" t="s">
        <v>33</v>
      </c>
      <c r="P29" t="s">
        <v>34</v>
      </c>
      <c r="Q29" t="s">
        <v>35</v>
      </c>
      <c r="R29" t="s">
        <v>116</v>
      </c>
      <c r="S29" s="7">
        <v>98052</v>
      </c>
      <c r="T29" s="3">
        <v>42032</v>
      </c>
      <c r="U29" s="3">
        <v>42034</v>
      </c>
      <c r="V29" s="4">
        <v>-6923.5991999999997</v>
      </c>
      <c r="W29">
        <v>1</v>
      </c>
      <c r="X29">
        <v>3267.55</v>
      </c>
      <c r="Y29" s="7">
        <v>88425</v>
      </c>
    </row>
    <row r="30" spans="1:25" ht="12.75" customHeight="1">
      <c r="A30">
        <v>18552</v>
      </c>
      <c r="B30" t="s">
        <v>37</v>
      </c>
      <c r="C30" s="4">
        <v>0.02</v>
      </c>
      <c r="D30" s="8">
        <v>5.98</v>
      </c>
      <c r="E30" s="4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 s="5">
        <v>0.36</v>
      </c>
      <c r="O30" t="s">
        <v>33</v>
      </c>
      <c r="P30" t="s">
        <v>34</v>
      </c>
      <c r="Q30" t="s">
        <v>35</v>
      </c>
      <c r="R30" t="s">
        <v>116</v>
      </c>
      <c r="S30" s="7">
        <v>98052</v>
      </c>
      <c r="T30" s="3">
        <v>42073</v>
      </c>
      <c r="U30" s="3">
        <v>42074</v>
      </c>
      <c r="V30" s="4">
        <v>-67.489999999999995</v>
      </c>
      <c r="W30">
        <v>17</v>
      </c>
      <c r="X30">
        <v>110.19</v>
      </c>
      <c r="Y30" s="7">
        <v>88426</v>
      </c>
    </row>
    <row r="31" spans="1:25" ht="12.75" customHeight="1">
      <c r="A31">
        <v>20697</v>
      </c>
      <c r="B31" t="s">
        <v>56</v>
      </c>
      <c r="C31" s="4">
        <v>0.06</v>
      </c>
      <c r="D31" s="8">
        <v>3.8</v>
      </c>
      <c r="E31" s="4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 s="5">
        <v>0.38</v>
      </c>
      <c r="O31" t="s">
        <v>33</v>
      </c>
      <c r="P31" t="s">
        <v>53</v>
      </c>
      <c r="Q31" t="s">
        <v>71</v>
      </c>
      <c r="R31" t="s">
        <v>126</v>
      </c>
      <c r="S31" s="7">
        <v>14150</v>
      </c>
      <c r="T31" s="3">
        <v>42114</v>
      </c>
      <c r="U31" s="3">
        <v>42115</v>
      </c>
      <c r="V31" s="4">
        <v>19.6282</v>
      </c>
      <c r="W31">
        <v>20</v>
      </c>
      <c r="X31">
        <v>73.55</v>
      </c>
      <c r="Y31" s="7">
        <v>88075</v>
      </c>
    </row>
    <row r="32" spans="1:25" ht="12.75" customHeight="1">
      <c r="A32">
        <v>20698</v>
      </c>
      <c r="B32" t="s">
        <v>56</v>
      </c>
      <c r="C32" s="4">
        <v>0.06</v>
      </c>
      <c r="D32" s="8">
        <v>1.76</v>
      </c>
      <c r="E32" s="4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 s="5">
        <v>0.56000000000000005</v>
      </c>
      <c r="O32" t="s">
        <v>33</v>
      </c>
      <c r="P32" t="s">
        <v>53</v>
      </c>
      <c r="Q32" t="s">
        <v>71</v>
      </c>
      <c r="R32" t="s">
        <v>126</v>
      </c>
      <c r="S32" s="7">
        <v>14150</v>
      </c>
      <c r="T32" s="3">
        <v>42114</v>
      </c>
      <c r="U32" s="3">
        <v>42115</v>
      </c>
      <c r="V32" s="4">
        <v>-1.6524000000000001</v>
      </c>
      <c r="W32">
        <v>17</v>
      </c>
      <c r="X32">
        <v>29.57</v>
      </c>
      <c r="Y32" s="7">
        <v>88075</v>
      </c>
    </row>
    <row r="33" spans="1:25" ht="12.75" customHeight="1">
      <c r="A33">
        <v>22890</v>
      </c>
      <c r="B33" t="s">
        <v>25</v>
      </c>
      <c r="C33" s="4">
        <v>0.02</v>
      </c>
      <c r="D33" s="8">
        <v>5.98</v>
      </c>
      <c r="E33" s="4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 s="5">
        <v>0.36</v>
      </c>
      <c r="O33" t="s">
        <v>33</v>
      </c>
      <c r="P33" t="s">
        <v>61</v>
      </c>
      <c r="Q33" t="s">
        <v>130</v>
      </c>
      <c r="R33" t="s">
        <v>131</v>
      </c>
      <c r="S33" s="7">
        <v>78664</v>
      </c>
      <c r="T33" s="3">
        <v>42133</v>
      </c>
      <c r="U33" s="3">
        <v>42135</v>
      </c>
      <c r="V33" s="4">
        <v>2.1400000000000023</v>
      </c>
      <c r="W33">
        <v>3</v>
      </c>
      <c r="X33">
        <v>22.85</v>
      </c>
      <c r="Y33" s="7">
        <v>87407</v>
      </c>
    </row>
    <row r="34" spans="1:25" ht="12.75" customHeight="1">
      <c r="A34">
        <v>25354</v>
      </c>
      <c r="B34" t="s">
        <v>25</v>
      </c>
      <c r="C34" s="4">
        <v>0.04</v>
      </c>
      <c r="D34" s="8">
        <v>29.14</v>
      </c>
      <c r="E34" s="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 s="5">
        <v>0.38</v>
      </c>
      <c r="O34" t="s">
        <v>33</v>
      </c>
      <c r="P34" t="s">
        <v>61</v>
      </c>
      <c r="Q34" t="s">
        <v>130</v>
      </c>
      <c r="R34" t="s">
        <v>131</v>
      </c>
      <c r="S34" s="7">
        <v>78664</v>
      </c>
      <c r="T34" s="3">
        <v>42167</v>
      </c>
      <c r="U34" s="3">
        <v>42169</v>
      </c>
      <c r="V34" s="4">
        <v>349.40909999999997</v>
      </c>
      <c r="W34">
        <v>17</v>
      </c>
      <c r="X34">
        <v>506.39</v>
      </c>
      <c r="Y34" s="7">
        <v>87408</v>
      </c>
    </row>
    <row r="35" spans="1:25" ht="12.75" customHeight="1">
      <c r="A35">
        <v>21017</v>
      </c>
      <c r="B35" t="s">
        <v>37</v>
      </c>
      <c r="C35" s="4">
        <v>0</v>
      </c>
      <c r="D35" s="8">
        <v>3.69</v>
      </c>
      <c r="E35" s="4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 s="5">
        <v>0.38</v>
      </c>
      <c r="O35" t="s">
        <v>33</v>
      </c>
      <c r="P35" t="s">
        <v>136</v>
      </c>
      <c r="Q35" t="s">
        <v>137</v>
      </c>
      <c r="R35" t="s">
        <v>138</v>
      </c>
      <c r="S35" s="7">
        <v>24153</v>
      </c>
      <c r="T35" s="3">
        <v>42065</v>
      </c>
      <c r="U35" s="3">
        <v>42067</v>
      </c>
      <c r="V35" s="4">
        <v>-37.5291</v>
      </c>
      <c r="W35">
        <v>1</v>
      </c>
      <c r="X35">
        <v>4</v>
      </c>
      <c r="Y35" s="7">
        <v>87406</v>
      </c>
    </row>
    <row r="36" spans="1:25" ht="12.75" customHeight="1">
      <c r="A36">
        <v>21019</v>
      </c>
      <c r="B36" t="s">
        <v>37</v>
      </c>
      <c r="C36" s="4">
        <v>0.02</v>
      </c>
      <c r="D36" s="8">
        <v>175.99</v>
      </c>
      <c r="E36" s="4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 s="5">
        <v>0.59</v>
      </c>
      <c r="O36" t="s">
        <v>33</v>
      </c>
      <c r="P36" t="s">
        <v>136</v>
      </c>
      <c r="Q36" t="s">
        <v>137</v>
      </c>
      <c r="R36" t="s">
        <v>138</v>
      </c>
      <c r="S36" s="7">
        <v>24153</v>
      </c>
      <c r="T36" s="3">
        <v>42065</v>
      </c>
      <c r="U36" s="3">
        <v>42065</v>
      </c>
      <c r="V36" s="4">
        <v>101.49</v>
      </c>
      <c r="W36">
        <v>4</v>
      </c>
      <c r="X36">
        <v>589.79999999999995</v>
      </c>
      <c r="Y36" s="7">
        <v>87406</v>
      </c>
    </row>
    <row r="37" spans="1:25" ht="12.75" customHeight="1">
      <c r="A37">
        <v>23274</v>
      </c>
      <c r="B37" t="s">
        <v>106</v>
      </c>
      <c r="C37" s="4">
        <v>0.05</v>
      </c>
      <c r="D37" s="8">
        <v>155.06</v>
      </c>
      <c r="E37" s="4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 s="5">
        <v>0.59</v>
      </c>
      <c r="O37" t="s">
        <v>33</v>
      </c>
      <c r="P37" t="s">
        <v>34</v>
      </c>
      <c r="Q37" t="s">
        <v>45</v>
      </c>
      <c r="R37" t="s">
        <v>143</v>
      </c>
      <c r="S37" s="7">
        <v>94559</v>
      </c>
      <c r="T37" s="3">
        <v>42006</v>
      </c>
      <c r="U37" s="3">
        <v>42013</v>
      </c>
      <c r="V37" s="4">
        <v>845.66399999999987</v>
      </c>
      <c r="W37">
        <v>8</v>
      </c>
      <c r="X37">
        <v>1225.5999999999999</v>
      </c>
      <c r="Y37" s="7">
        <v>87946</v>
      </c>
    </row>
    <row r="38" spans="1:25" ht="12.75" customHeight="1">
      <c r="A38">
        <v>5272</v>
      </c>
      <c r="B38" t="s">
        <v>106</v>
      </c>
      <c r="C38" s="4">
        <v>0</v>
      </c>
      <c r="D38" s="8">
        <v>291.73</v>
      </c>
      <c r="E38" s="4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 s="5">
        <v>0.56000000000000005</v>
      </c>
      <c r="O38" t="s">
        <v>33</v>
      </c>
      <c r="P38" t="s">
        <v>53</v>
      </c>
      <c r="Q38" t="s">
        <v>71</v>
      </c>
      <c r="R38" t="s">
        <v>90</v>
      </c>
      <c r="S38" s="7">
        <v>10177</v>
      </c>
      <c r="T38" s="3">
        <v>42006</v>
      </c>
      <c r="U38" s="3">
        <v>42006</v>
      </c>
      <c r="V38" s="4">
        <v>-308.928</v>
      </c>
      <c r="W38">
        <v>4</v>
      </c>
      <c r="X38">
        <v>1239.06</v>
      </c>
      <c r="Y38" s="7">
        <v>37537</v>
      </c>
    </row>
    <row r="39" spans="1:25" ht="12.75" customHeight="1">
      <c r="A39">
        <v>5273</v>
      </c>
      <c r="B39" t="s">
        <v>106</v>
      </c>
      <c r="C39" s="4">
        <v>7.0000000000000007E-2</v>
      </c>
      <c r="D39" s="8">
        <v>100.98</v>
      </c>
      <c r="E39" s="4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 s="5">
        <v>0.69</v>
      </c>
      <c r="O39" t="s">
        <v>33</v>
      </c>
      <c r="P39" t="s">
        <v>53</v>
      </c>
      <c r="Q39" t="s">
        <v>71</v>
      </c>
      <c r="R39" t="s">
        <v>90</v>
      </c>
      <c r="S39" s="7">
        <v>10177</v>
      </c>
      <c r="T39" s="3">
        <v>42006</v>
      </c>
      <c r="U39" s="3">
        <v>42008</v>
      </c>
      <c r="V39" s="4">
        <v>-1679.7599999999998</v>
      </c>
      <c r="W39">
        <v>43</v>
      </c>
      <c r="X39">
        <v>4083.19</v>
      </c>
      <c r="Y39" s="7">
        <v>37537</v>
      </c>
    </row>
    <row r="40" spans="1:25" ht="12.75" customHeight="1">
      <c r="A40">
        <v>5274</v>
      </c>
      <c r="B40" t="s">
        <v>106</v>
      </c>
      <c r="C40" s="4">
        <v>0.05</v>
      </c>
      <c r="D40" s="8">
        <v>155.06</v>
      </c>
      <c r="E40" s="4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 s="5">
        <v>0.59</v>
      </c>
      <c r="O40" t="s">
        <v>33</v>
      </c>
      <c r="P40" t="s">
        <v>53</v>
      </c>
      <c r="Q40" t="s">
        <v>71</v>
      </c>
      <c r="R40" t="s">
        <v>90</v>
      </c>
      <c r="S40" s="7">
        <v>10177</v>
      </c>
      <c r="T40" s="3">
        <v>42006</v>
      </c>
      <c r="U40" s="3">
        <v>42013</v>
      </c>
      <c r="V40" s="4">
        <v>575.39600000000007</v>
      </c>
      <c r="W40">
        <v>32</v>
      </c>
      <c r="X40">
        <v>4902.38</v>
      </c>
      <c r="Y40" s="7">
        <v>37537</v>
      </c>
    </row>
    <row r="41" spans="1:25" ht="12.75" customHeight="1">
      <c r="A41">
        <v>7786</v>
      </c>
      <c r="B41" t="s">
        <v>25</v>
      </c>
      <c r="C41" s="4">
        <v>0.09</v>
      </c>
      <c r="D41" s="8">
        <v>122.99</v>
      </c>
      <c r="E41" s="4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 s="5">
        <v>0.74</v>
      </c>
      <c r="O41" t="s">
        <v>33</v>
      </c>
      <c r="P41" t="s">
        <v>53</v>
      </c>
      <c r="Q41" t="s">
        <v>71</v>
      </c>
      <c r="R41" t="s">
        <v>90</v>
      </c>
      <c r="S41" s="7">
        <v>10177</v>
      </c>
      <c r="T41" s="3">
        <v>42037</v>
      </c>
      <c r="U41" s="3">
        <v>42039</v>
      </c>
      <c r="V41" s="4">
        <v>-2426.5500000000002</v>
      </c>
      <c r="W41">
        <v>49</v>
      </c>
      <c r="X41">
        <v>5718.85</v>
      </c>
      <c r="Y41" s="7">
        <v>55713</v>
      </c>
    </row>
    <row r="42" spans="1:25" ht="12.75" customHeight="1">
      <c r="A42">
        <v>25786</v>
      </c>
      <c r="B42" t="s">
        <v>25</v>
      </c>
      <c r="C42" s="4">
        <v>0.09</v>
      </c>
      <c r="D42" s="8">
        <v>122.99</v>
      </c>
      <c r="E42" s="4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 s="5">
        <v>0.74</v>
      </c>
      <c r="O42" t="s">
        <v>33</v>
      </c>
      <c r="P42" t="s">
        <v>53</v>
      </c>
      <c r="Q42" t="s">
        <v>149</v>
      </c>
      <c r="R42" t="s">
        <v>150</v>
      </c>
      <c r="S42" s="7">
        <v>5401</v>
      </c>
      <c r="T42" s="3">
        <v>42037</v>
      </c>
      <c r="U42" s="3">
        <v>42039</v>
      </c>
      <c r="V42" s="4">
        <v>-2426.5500000000002</v>
      </c>
      <c r="W42">
        <v>12</v>
      </c>
      <c r="X42">
        <v>1400.53</v>
      </c>
      <c r="Y42" s="7">
        <v>87947</v>
      </c>
    </row>
    <row r="43" spans="1:25" ht="12.75" customHeight="1">
      <c r="A43">
        <v>18281</v>
      </c>
      <c r="B43" t="s">
        <v>25</v>
      </c>
      <c r="C43" s="4">
        <v>0.04</v>
      </c>
      <c r="D43" s="8">
        <v>296.18</v>
      </c>
      <c r="E43" s="4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 s="5">
        <v>0.76</v>
      </c>
      <c r="O43" t="s">
        <v>33</v>
      </c>
      <c r="P43" t="s">
        <v>53</v>
      </c>
      <c r="Q43" t="s">
        <v>154</v>
      </c>
      <c r="R43" t="s">
        <v>155</v>
      </c>
      <c r="S43" s="7">
        <v>44708</v>
      </c>
      <c r="T43" s="3">
        <v>42078</v>
      </c>
      <c r="U43" s="3">
        <v>42078</v>
      </c>
      <c r="V43" s="4">
        <v>-715.7782060000003</v>
      </c>
      <c r="W43">
        <v>6</v>
      </c>
      <c r="X43">
        <v>1821.89</v>
      </c>
      <c r="Y43" s="7">
        <v>87365</v>
      </c>
    </row>
    <row r="44" spans="1:25" ht="12.75" customHeight="1">
      <c r="A44">
        <v>23639</v>
      </c>
      <c r="B44" t="s">
        <v>37</v>
      </c>
      <c r="C44" s="4">
        <v>0</v>
      </c>
      <c r="D44" s="8">
        <v>8.09</v>
      </c>
      <c r="E44" s="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 s="5">
        <v>0.49</v>
      </c>
      <c r="O44" t="s">
        <v>33</v>
      </c>
      <c r="P44" t="s">
        <v>53</v>
      </c>
      <c r="Q44" t="s">
        <v>154</v>
      </c>
      <c r="R44" t="s">
        <v>158</v>
      </c>
      <c r="S44" s="7">
        <v>45231</v>
      </c>
      <c r="T44" s="3">
        <v>42037</v>
      </c>
      <c r="U44" s="3">
        <v>42038</v>
      </c>
      <c r="V44" s="4">
        <v>-144.56</v>
      </c>
      <c r="W44">
        <v>11</v>
      </c>
      <c r="X44">
        <v>90.98</v>
      </c>
      <c r="Y44" s="7">
        <v>87364</v>
      </c>
    </row>
    <row r="45" spans="1:25" ht="12.75" customHeight="1">
      <c r="A45">
        <v>23880</v>
      </c>
      <c r="B45" t="s">
        <v>25</v>
      </c>
      <c r="C45" s="4">
        <v>0.08</v>
      </c>
      <c r="D45" s="8">
        <v>896.99</v>
      </c>
      <c r="E45" s="4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 s="5">
        <v>0.38</v>
      </c>
      <c r="O45" t="s">
        <v>33</v>
      </c>
      <c r="P45" t="s">
        <v>53</v>
      </c>
      <c r="Q45" t="s">
        <v>154</v>
      </c>
      <c r="R45" t="s">
        <v>158</v>
      </c>
      <c r="S45" s="7">
        <v>45231</v>
      </c>
      <c r="T45" s="3">
        <v>42093</v>
      </c>
      <c r="U45" s="3">
        <v>42096</v>
      </c>
      <c r="V45" s="4">
        <v>7402.32</v>
      </c>
      <c r="W45">
        <v>13</v>
      </c>
      <c r="X45">
        <v>10728</v>
      </c>
      <c r="Y45" s="7">
        <v>87366</v>
      </c>
    </row>
    <row r="46" spans="1:25" ht="12.75" customHeight="1">
      <c r="A46">
        <v>24663</v>
      </c>
      <c r="B46" t="s">
        <v>106</v>
      </c>
      <c r="C46" s="4">
        <v>0.05</v>
      </c>
      <c r="D46" s="8">
        <v>161.55000000000001</v>
      </c>
      <c r="E46" s="4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 s="5">
        <v>0.66</v>
      </c>
      <c r="O46" t="s">
        <v>33</v>
      </c>
      <c r="P46" t="s">
        <v>34</v>
      </c>
      <c r="Q46" t="s">
        <v>45</v>
      </c>
      <c r="R46" t="s">
        <v>162</v>
      </c>
      <c r="S46" s="7">
        <v>95687</v>
      </c>
      <c r="T46" s="3">
        <v>42158</v>
      </c>
      <c r="U46" s="3">
        <v>42163</v>
      </c>
      <c r="V46" s="4">
        <v>1892.424</v>
      </c>
      <c r="W46">
        <v>19</v>
      </c>
      <c r="X46">
        <v>3127.69</v>
      </c>
      <c r="Y46" s="7">
        <v>90596</v>
      </c>
    </row>
    <row r="47" spans="1:25" ht="12.75" customHeight="1">
      <c r="A47">
        <v>23841</v>
      </c>
      <c r="B47" t="s">
        <v>25</v>
      </c>
      <c r="C47" s="4">
        <v>0.09</v>
      </c>
      <c r="D47" s="8">
        <v>4.91</v>
      </c>
      <c r="E47" s="4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 s="5">
        <v>0.36</v>
      </c>
      <c r="O47" t="s">
        <v>33</v>
      </c>
      <c r="P47" t="s">
        <v>34</v>
      </c>
      <c r="Q47" t="s">
        <v>45</v>
      </c>
      <c r="R47" t="s">
        <v>162</v>
      </c>
      <c r="S47" s="7">
        <v>95687</v>
      </c>
      <c r="T47" s="3">
        <v>42085</v>
      </c>
      <c r="U47" s="3">
        <v>42086</v>
      </c>
      <c r="V47" s="4">
        <v>28.855799999999999</v>
      </c>
      <c r="W47">
        <v>9</v>
      </c>
      <c r="X47">
        <v>41.82</v>
      </c>
      <c r="Y47" s="7">
        <v>90597</v>
      </c>
    </row>
    <row r="48" spans="1:25" ht="12.75" customHeight="1">
      <c r="A48">
        <v>23842</v>
      </c>
      <c r="B48" t="s">
        <v>25</v>
      </c>
      <c r="C48" s="4">
        <v>0.01</v>
      </c>
      <c r="D48" s="8">
        <v>296.18</v>
      </c>
      <c r="E48" s="4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 s="5">
        <v>0.76</v>
      </c>
      <c r="O48" t="s">
        <v>33</v>
      </c>
      <c r="P48" t="s">
        <v>34</v>
      </c>
      <c r="Q48" t="s">
        <v>45</v>
      </c>
      <c r="R48" t="s">
        <v>162</v>
      </c>
      <c r="S48" s="7">
        <v>95687</v>
      </c>
      <c r="T48" s="3">
        <v>42085</v>
      </c>
      <c r="U48" s="3">
        <v>42088</v>
      </c>
      <c r="V48" s="4">
        <v>173.48</v>
      </c>
      <c r="W48">
        <v>9</v>
      </c>
      <c r="X48">
        <v>2875.72</v>
      </c>
      <c r="Y48" s="7">
        <v>90597</v>
      </c>
    </row>
    <row r="49" spans="1:25" ht="12.75" customHeight="1">
      <c r="A49">
        <v>23071</v>
      </c>
      <c r="B49" t="s">
        <v>25</v>
      </c>
      <c r="C49" s="4">
        <v>7.0000000000000007E-2</v>
      </c>
      <c r="D49" s="8">
        <v>19.84</v>
      </c>
      <c r="E49" s="4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 s="5">
        <v>0.44</v>
      </c>
      <c r="O49" t="s">
        <v>33</v>
      </c>
      <c r="P49" t="s">
        <v>34</v>
      </c>
      <c r="Q49" t="s">
        <v>45</v>
      </c>
      <c r="R49" t="s">
        <v>166</v>
      </c>
      <c r="S49" s="7">
        <v>94591</v>
      </c>
      <c r="T49" s="3">
        <v>42141</v>
      </c>
      <c r="U49" s="3">
        <v>42142</v>
      </c>
      <c r="V49" s="4">
        <v>117.852</v>
      </c>
      <c r="W49">
        <v>9</v>
      </c>
      <c r="X49">
        <v>170.8</v>
      </c>
      <c r="Y49" s="7">
        <v>87175</v>
      </c>
    </row>
    <row r="50" spans="1:25" ht="12.75" customHeight="1">
      <c r="A50">
        <v>19877</v>
      </c>
      <c r="B50" t="s">
        <v>56</v>
      </c>
      <c r="C50" s="4">
        <v>0.05</v>
      </c>
      <c r="D50" s="8">
        <v>5.18</v>
      </c>
      <c r="E50" s="4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 s="5">
        <v>0.36</v>
      </c>
      <c r="O50" t="s">
        <v>33</v>
      </c>
      <c r="P50" t="s">
        <v>34</v>
      </c>
      <c r="Q50" t="s">
        <v>45</v>
      </c>
      <c r="R50" t="s">
        <v>166</v>
      </c>
      <c r="S50" s="7">
        <v>94591</v>
      </c>
      <c r="T50" s="3">
        <v>42053</v>
      </c>
      <c r="U50" s="3">
        <v>42055</v>
      </c>
      <c r="V50" s="4">
        <v>34.010400000000004</v>
      </c>
      <c r="W50">
        <v>10</v>
      </c>
      <c r="X50">
        <v>53.54</v>
      </c>
      <c r="Y50" s="7">
        <v>87176</v>
      </c>
    </row>
    <row r="51" spans="1:25" ht="12.75" customHeight="1">
      <c r="A51">
        <v>19611</v>
      </c>
      <c r="B51" t="s">
        <v>56</v>
      </c>
      <c r="C51" s="4">
        <v>0.06</v>
      </c>
      <c r="D51" s="8">
        <v>175.99</v>
      </c>
      <c r="E51" s="4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 s="5">
        <v>0.56999999999999995</v>
      </c>
      <c r="O51" t="s">
        <v>33</v>
      </c>
      <c r="P51" t="s">
        <v>34</v>
      </c>
      <c r="Q51" t="s">
        <v>45</v>
      </c>
      <c r="R51" t="s">
        <v>166</v>
      </c>
      <c r="S51" s="7">
        <v>94591</v>
      </c>
      <c r="T51" s="3">
        <v>42067</v>
      </c>
      <c r="U51" s="3">
        <v>42069</v>
      </c>
      <c r="V51" s="4">
        <v>2031.5070000000001</v>
      </c>
      <c r="W51">
        <v>23</v>
      </c>
      <c r="X51">
        <v>3363.53</v>
      </c>
      <c r="Y51" s="7">
        <v>87177</v>
      </c>
    </row>
    <row r="52" spans="1:25" ht="12.75" customHeight="1">
      <c r="A52">
        <v>23069</v>
      </c>
      <c r="B52" t="s">
        <v>25</v>
      </c>
      <c r="C52" s="4">
        <v>7.0000000000000007E-2</v>
      </c>
      <c r="D52" s="8">
        <v>8.34</v>
      </c>
      <c r="E52" s="4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 s="5">
        <v>0.35</v>
      </c>
      <c r="O52" t="s">
        <v>33</v>
      </c>
      <c r="P52" t="s">
        <v>136</v>
      </c>
      <c r="Q52" t="s">
        <v>171</v>
      </c>
      <c r="R52" t="s">
        <v>172</v>
      </c>
      <c r="S52" s="7">
        <v>70056</v>
      </c>
      <c r="T52" s="3">
        <v>42141</v>
      </c>
      <c r="U52" s="3">
        <v>42143</v>
      </c>
      <c r="V52" s="4">
        <v>-190.67999999999998</v>
      </c>
      <c r="W52">
        <v>16</v>
      </c>
      <c r="X52">
        <v>132.08000000000001</v>
      </c>
      <c r="Y52" s="7">
        <v>87175</v>
      </c>
    </row>
    <row r="53" spans="1:25" ht="12.75" customHeight="1">
      <c r="A53">
        <v>23070</v>
      </c>
      <c r="B53" t="s">
        <v>25</v>
      </c>
      <c r="C53" s="4">
        <v>0.09</v>
      </c>
      <c r="D53" s="8">
        <v>4.9800000000000004</v>
      </c>
      <c r="E53" s="4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 s="5">
        <v>0.36</v>
      </c>
      <c r="O53" t="s">
        <v>33</v>
      </c>
      <c r="P53" t="s">
        <v>136</v>
      </c>
      <c r="Q53" t="s">
        <v>171</v>
      </c>
      <c r="R53" t="s">
        <v>172</v>
      </c>
      <c r="S53" s="7">
        <v>70056</v>
      </c>
      <c r="T53" s="3">
        <v>42141</v>
      </c>
      <c r="U53" s="3">
        <v>42142</v>
      </c>
      <c r="V53" s="4">
        <v>325.39800000000002</v>
      </c>
      <c r="W53">
        <v>9</v>
      </c>
      <c r="X53">
        <v>45.34</v>
      </c>
      <c r="Y53" s="7">
        <v>87175</v>
      </c>
    </row>
    <row r="54" spans="1:25" ht="12.75" customHeight="1">
      <c r="A54">
        <v>23203</v>
      </c>
      <c r="B54" t="s">
        <v>56</v>
      </c>
      <c r="C54" s="4">
        <v>0.04</v>
      </c>
      <c r="D54" s="8">
        <v>12.98</v>
      </c>
      <c r="E54" s="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 s="5">
        <v>0.6</v>
      </c>
      <c r="O54" t="s">
        <v>33</v>
      </c>
      <c r="P54" t="s">
        <v>136</v>
      </c>
      <c r="Q54" t="s">
        <v>171</v>
      </c>
      <c r="R54" t="s">
        <v>172</v>
      </c>
      <c r="S54" s="7">
        <v>70056</v>
      </c>
      <c r="T54" s="3">
        <v>42162</v>
      </c>
      <c r="U54" s="3">
        <v>42164</v>
      </c>
      <c r="V54" s="4">
        <v>22.817999999999998</v>
      </c>
      <c r="W54">
        <v>16</v>
      </c>
      <c r="X54">
        <v>216.04</v>
      </c>
      <c r="Y54" s="7">
        <v>87178</v>
      </c>
    </row>
    <row r="55" spans="1:25" ht="12.75" customHeight="1">
      <c r="A55">
        <v>6243</v>
      </c>
      <c r="B55" t="s">
        <v>37</v>
      </c>
      <c r="C55" s="4">
        <v>0.04</v>
      </c>
      <c r="D55" s="8">
        <v>160.97999999999999</v>
      </c>
      <c r="E55" s="4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 s="5">
        <v>0.62</v>
      </c>
      <c r="O55" t="s">
        <v>33</v>
      </c>
      <c r="P55" t="s">
        <v>61</v>
      </c>
      <c r="Q55" t="s">
        <v>178</v>
      </c>
      <c r="R55" t="s">
        <v>179</v>
      </c>
      <c r="S55" s="7">
        <v>60601</v>
      </c>
      <c r="T55" s="3">
        <v>42127</v>
      </c>
      <c r="U55" s="3">
        <v>42129</v>
      </c>
      <c r="V55" s="4">
        <v>116.1</v>
      </c>
      <c r="W55">
        <v>37</v>
      </c>
      <c r="X55">
        <v>6276.34</v>
      </c>
      <c r="Y55" s="7">
        <v>44231</v>
      </c>
    </row>
    <row r="56" spans="1:25" ht="12.75" customHeight="1">
      <c r="A56">
        <v>6244</v>
      </c>
      <c r="B56" t="s">
        <v>37</v>
      </c>
      <c r="C56" s="4">
        <v>0.01</v>
      </c>
      <c r="D56" s="8">
        <v>17.98</v>
      </c>
      <c r="E56" s="4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 s="5">
        <v>0.79</v>
      </c>
      <c r="O56" t="s">
        <v>33</v>
      </c>
      <c r="P56" t="s">
        <v>61</v>
      </c>
      <c r="Q56" t="s">
        <v>178</v>
      </c>
      <c r="R56" t="s">
        <v>179</v>
      </c>
      <c r="S56" s="7">
        <v>60601</v>
      </c>
      <c r="T56" s="3">
        <v>42127</v>
      </c>
      <c r="U56" s="3">
        <v>42129</v>
      </c>
      <c r="V56" s="4">
        <v>-87.96</v>
      </c>
      <c r="W56">
        <v>146</v>
      </c>
      <c r="X56">
        <v>2664.4</v>
      </c>
      <c r="Y56" s="7">
        <v>44231</v>
      </c>
    </row>
    <row r="57" spans="1:25" ht="12.75" customHeight="1">
      <c r="A57">
        <v>24243</v>
      </c>
      <c r="B57" t="s">
        <v>37</v>
      </c>
      <c r="C57" s="4">
        <v>0.04</v>
      </c>
      <c r="D57" s="8">
        <v>160.97999999999999</v>
      </c>
      <c r="E57" s="4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 s="5">
        <v>0.62</v>
      </c>
      <c r="O57" t="s">
        <v>33</v>
      </c>
      <c r="P57" t="s">
        <v>61</v>
      </c>
      <c r="Q57" t="s">
        <v>183</v>
      </c>
      <c r="R57" t="s">
        <v>184</v>
      </c>
      <c r="S57" s="7">
        <v>66502</v>
      </c>
      <c r="T57" s="3">
        <v>42127</v>
      </c>
      <c r="U57" s="3">
        <v>42129</v>
      </c>
      <c r="V57" s="4">
        <v>255.42000000000002</v>
      </c>
      <c r="W57">
        <v>9</v>
      </c>
      <c r="X57">
        <v>1526.68</v>
      </c>
      <c r="Y57" s="7">
        <v>87306</v>
      </c>
    </row>
    <row r="58" spans="1:25" ht="12.75" customHeight="1">
      <c r="A58">
        <v>24245</v>
      </c>
      <c r="B58" t="s">
        <v>37</v>
      </c>
      <c r="C58" s="4">
        <v>0.06</v>
      </c>
      <c r="D58" s="8">
        <v>115.99</v>
      </c>
      <c r="E58" s="4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 s="5">
        <v>0.57999999999999996</v>
      </c>
      <c r="O58" t="s">
        <v>33</v>
      </c>
      <c r="P58" t="s">
        <v>61</v>
      </c>
      <c r="Q58" t="s">
        <v>183</v>
      </c>
      <c r="R58" t="s">
        <v>184</v>
      </c>
      <c r="S58" s="7">
        <v>66502</v>
      </c>
      <c r="T58" s="3">
        <v>42127</v>
      </c>
      <c r="U58" s="3">
        <v>42128</v>
      </c>
      <c r="V58" s="4">
        <v>685.6146</v>
      </c>
      <c r="W58">
        <v>20</v>
      </c>
      <c r="X58">
        <v>1952.56</v>
      </c>
      <c r="Y58" s="7">
        <v>87306</v>
      </c>
    </row>
    <row r="59" spans="1:25" ht="12.75" customHeight="1">
      <c r="A59">
        <v>18494</v>
      </c>
      <c r="B59" t="s">
        <v>56</v>
      </c>
      <c r="C59" s="4">
        <v>0.1</v>
      </c>
      <c r="D59" s="8">
        <v>19.98</v>
      </c>
      <c r="E59" s="4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 s="5">
        <v>0.68</v>
      </c>
      <c r="O59" t="s">
        <v>33</v>
      </c>
      <c r="P59" t="s">
        <v>53</v>
      </c>
      <c r="Q59" t="s">
        <v>188</v>
      </c>
      <c r="R59" t="s">
        <v>189</v>
      </c>
      <c r="S59" s="7">
        <v>4005</v>
      </c>
      <c r="T59" s="3">
        <v>42177</v>
      </c>
      <c r="U59" s="3">
        <v>42179</v>
      </c>
      <c r="V59" s="4">
        <v>-16.2</v>
      </c>
      <c r="W59">
        <v>16</v>
      </c>
      <c r="X59">
        <v>303.58999999999997</v>
      </c>
      <c r="Y59" s="7">
        <v>88205</v>
      </c>
    </row>
    <row r="60" spans="1:25" ht="12.75" customHeight="1">
      <c r="A60">
        <v>6014</v>
      </c>
      <c r="B60" t="s">
        <v>56</v>
      </c>
      <c r="C60" s="4">
        <v>0.04</v>
      </c>
      <c r="D60" s="8">
        <v>300.98</v>
      </c>
      <c r="E60" s="4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 s="5">
        <v>0.55000000000000004</v>
      </c>
      <c r="O60" t="s">
        <v>33</v>
      </c>
      <c r="P60" t="s">
        <v>53</v>
      </c>
      <c r="Q60" t="s">
        <v>193</v>
      </c>
      <c r="R60" t="s">
        <v>194</v>
      </c>
      <c r="S60" s="7">
        <v>2129</v>
      </c>
      <c r="T60" s="3">
        <v>42100</v>
      </c>
      <c r="U60" s="3">
        <v>42101</v>
      </c>
      <c r="V60" s="4">
        <v>2023.75</v>
      </c>
      <c r="W60">
        <v>31</v>
      </c>
      <c r="X60">
        <v>9459.94</v>
      </c>
      <c r="Y60" s="7">
        <v>42599</v>
      </c>
    </row>
    <row r="61" spans="1:25" ht="12.75" customHeight="1">
      <c r="A61">
        <v>494</v>
      </c>
      <c r="B61" t="s">
        <v>56</v>
      </c>
      <c r="C61" s="4">
        <v>0.1</v>
      </c>
      <c r="D61" s="8">
        <v>19.98</v>
      </c>
      <c r="E61" s="4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 s="5">
        <v>0.68</v>
      </c>
      <c r="O61" t="s">
        <v>33</v>
      </c>
      <c r="P61" t="s">
        <v>53</v>
      </c>
      <c r="Q61" t="s">
        <v>193</v>
      </c>
      <c r="R61" t="s">
        <v>194</v>
      </c>
      <c r="S61" s="7">
        <v>2129</v>
      </c>
      <c r="T61" s="3">
        <v>42177</v>
      </c>
      <c r="U61" s="3">
        <v>42179</v>
      </c>
      <c r="V61" s="4">
        <v>-20.25</v>
      </c>
      <c r="W61">
        <v>65</v>
      </c>
      <c r="X61">
        <v>1233.32</v>
      </c>
      <c r="Y61" s="7">
        <v>3397</v>
      </c>
    </row>
    <row r="62" spans="1:25" ht="12.75" customHeight="1">
      <c r="A62">
        <v>495</v>
      </c>
      <c r="B62" t="s">
        <v>56</v>
      </c>
      <c r="C62" s="4">
        <v>0.09</v>
      </c>
      <c r="D62" s="8">
        <v>2.88</v>
      </c>
      <c r="E62" s="4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 s="5">
        <v>0.36</v>
      </c>
      <c r="O62" t="s">
        <v>33</v>
      </c>
      <c r="P62" t="s">
        <v>53</v>
      </c>
      <c r="Q62" t="s">
        <v>193</v>
      </c>
      <c r="R62" t="s">
        <v>194</v>
      </c>
      <c r="S62" s="7">
        <v>2129</v>
      </c>
      <c r="T62" s="3">
        <v>42177</v>
      </c>
      <c r="U62" s="3">
        <v>42178</v>
      </c>
      <c r="V62" s="4">
        <v>-3.3809999999999998</v>
      </c>
      <c r="W62">
        <v>17</v>
      </c>
      <c r="X62">
        <v>47.31</v>
      </c>
      <c r="Y62" s="7">
        <v>3397</v>
      </c>
    </row>
    <row r="63" spans="1:25" ht="12.75" customHeight="1">
      <c r="A63">
        <v>24014</v>
      </c>
      <c r="B63" t="s">
        <v>56</v>
      </c>
      <c r="C63" s="4">
        <v>0.04</v>
      </c>
      <c r="D63" s="8">
        <v>300.98</v>
      </c>
      <c r="E63" s="4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 s="5">
        <v>0.55000000000000004</v>
      </c>
      <c r="O63" t="s">
        <v>33</v>
      </c>
      <c r="P63" t="s">
        <v>53</v>
      </c>
      <c r="Q63" t="s">
        <v>197</v>
      </c>
      <c r="R63" t="s">
        <v>198</v>
      </c>
      <c r="S63" s="7">
        <v>3820</v>
      </c>
      <c r="T63" s="3">
        <v>42100</v>
      </c>
      <c r="U63" s="3">
        <v>42101</v>
      </c>
      <c r="V63" s="4">
        <v>1684.4762999999998</v>
      </c>
      <c r="W63">
        <v>8</v>
      </c>
      <c r="X63">
        <v>2441.27</v>
      </c>
      <c r="Y63" s="7">
        <v>88204</v>
      </c>
    </row>
    <row r="64" spans="1:25" ht="12.75" customHeight="1">
      <c r="A64">
        <v>18495</v>
      </c>
      <c r="B64" t="s">
        <v>56</v>
      </c>
      <c r="C64" s="4">
        <v>0.09</v>
      </c>
      <c r="D64" s="8">
        <v>2.88</v>
      </c>
      <c r="E64" s="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 s="5">
        <v>0.36</v>
      </c>
      <c r="O64" t="s">
        <v>33</v>
      </c>
      <c r="P64" t="s">
        <v>53</v>
      </c>
      <c r="Q64" t="s">
        <v>54</v>
      </c>
      <c r="R64" t="s">
        <v>200</v>
      </c>
      <c r="S64" s="7">
        <v>7644</v>
      </c>
      <c r="T64" s="3">
        <v>42177</v>
      </c>
      <c r="U64" s="3">
        <v>42178</v>
      </c>
      <c r="V64" s="4">
        <v>-2.7047999999999996</v>
      </c>
      <c r="W64">
        <v>4</v>
      </c>
      <c r="X64">
        <v>11.13</v>
      </c>
      <c r="Y64" s="7">
        <v>88205</v>
      </c>
    </row>
    <row r="65" spans="1:25" ht="12.75" customHeight="1">
      <c r="A65">
        <v>19074</v>
      </c>
      <c r="B65" t="s">
        <v>25</v>
      </c>
      <c r="C65" s="4">
        <v>0.03</v>
      </c>
      <c r="D65" s="8">
        <v>4.26</v>
      </c>
      <c r="E65" s="4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 s="5">
        <v>0.44</v>
      </c>
      <c r="O65" t="s">
        <v>33</v>
      </c>
      <c r="P65" t="s">
        <v>34</v>
      </c>
      <c r="Q65" t="s">
        <v>102</v>
      </c>
      <c r="R65" t="s">
        <v>203</v>
      </c>
      <c r="S65" s="7">
        <v>97035</v>
      </c>
      <c r="T65" s="3">
        <v>42007</v>
      </c>
      <c r="U65" s="3">
        <v>42008</v>
      </c>
      <c r="V65" s="4">
        <v>18.658000000000001</v>
      </c>
      <c r="W65">
        <v>7</v>
      </c>
      <c r="X65">
        <v>29.5</v>
      </c>
      <c r="Y65" s="7">
        <v>89583</v>
      </c>
    </row>
    <row r="66" spans="1:25" ht="12.75" customHeight="1">
      <c r="A66">
        <v>19950</v>
      </c>
      <c r="B66" t="s">
        <v>56</v>
      </c>
      <c r="C66" s="4">
        <v>0.01</v>
      </c>
      <c r="D66" s="8">
        <v>4.91</v>
      </c>
      <c r="E66" s="4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 s="5">
        <v>0.36</v>
      </c>
      <c r="O66" t="s">
        <v>33</v>
      </c>
      <c r="P66" t="s">
        <v>34</v>
      </c>
      <c r="Q66" t="s">
        <v>102</v>
      </c>
      <c r="R66" t="s">
        <v>203</v>
      </c>
      <c r="S66" s="7">
        <v>97035</v>
      </c>
      <c r="T66" s="3">
        <v>42098</v>
      </c>
      <c r="U66" s="3">
        <v>42100</v>
      </c>
      <c r="V66" s="4">
        <v>40.247699999999995</v>
      </c>
      <c r="W66">
        <v>12</v>
      </c>
      <c r="X66">
        <v>58.33</v>
      </c>
      <c r="Y66" s="7">
        <v>89584</v>
      </c>
    </row>
    <row r="67" spans="1:25" ht="12.75" customHeight="1">
      <c r="A67">
        <v>19951</v>
      </c>
      <c r="B67" t="s">
        <v>56</v>
      </c>
      <c r="C67" s="4">
        <v>0.09</v>
      </c>
      <c r="D67" s="8">
        <v>4</v>
      </c>
      <c r="E67" s="4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 s="5">
        <v>0.37</v>
      </c>
      <c r="O67" t="s">
        <v>33</v>
      </c>
      <c r="P67" t="s">
        <v>34</v>
      </c>
      <c r="Q67" t="s">
        <v>102</v>
      </c>
      <c r="R67" t="s">
        <v>203</v>
      </c>
      <c r="S67" s="7">
        <v>97035</v>
      </c>
      <c r="T67" s="3">
        <v>42098</v>
      </c>
      <c r="U67" s="3">
        <v>42100</v>
      </c>
      <c r="V67" s="4">
        <v>14.0898</v>
      </c>
      <c r="W67">
        <v>5</v>
      </c>
      <c r="X67">
        <v>20.420000000000002</v>
      </c>
      <c r="Y67" s="7">
        <v>89584</v>
      </c>
    </row>
    <row r="68" spans="1:25" ht="12.75" customHeight="1">
      <c r="A68">
        <v>26241</v>
      </c>
      <c r="B68" t="s">
        <v>106</v>
      </c>
      <c r="C68" s="4">
        <v>7.0000000000000007E-2</v>
      </c>
      <c r="D68" s="8">
        <v>2.12</v>
      </c>
      <c r="E68" s="4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 s="5">
        <v>0.55000000000000004</v>
      </c>
      <c r="O68" t="s">
        <v>33</v>
      </c>
      <c r="P68" t="s">
        <v>34</v>
      </c>
      <c r="Q68" t="s">
        <v>102</v>
      </c>
      <c r="R68" t="s">
        <v>207</v>
      </c>
      <c r="S68" s="7">
        <v>97128</v>
      </c>
      <c r="T68" s="3">
        <v>42103</v>
      </c>
      <c r="U68" s="3">
        <v>42105</v>
      </c>
      <c r="V68" s="4">
        <v>-55.84</v>
      </c>
      <c r="W68">
        <v>12</v>
      </c>
      <c r="X68">
        <v>26.07</v>
      </c>
      <c r="Y68" s="7">
        <v>89585</v>
      </c>
    </row>
    <row r="69" spans="1:25" ht="12.75" customHeight="1">
      <c r="A69">
        <v>1074</v>
      </c>
      <c r="B69" t="s">
        <v>25</v>
      </c>
      <c r="C69" s="4">
        <v>0.03</v>
      </c>
      <c r="D69" s="8">
        <v>4.26</v>
      </c>
      <c r="E69" s="4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 s="5">
        <v>0.44</v>
      </c>
      <c r="O69" t="s">
        <v>33</v>
      </c>
      <c r="P69" t="s">
        <v>34</v>
      </c>
      <c r="Q69" t="s">
        <v>35</v>
      </c>
      <c r="R69" t="s">
        <v>209</v>
      </c>
      <c r="S69" s="7">
        <v>98103</v>
      </c>
      <c r="T69" s="3">
        <v>42007</v>
      </c>
      <c r="U69" s="3">
        <v>42008</v>
      </c>
      <c r="V69" s="4">
        <v>9.82</v>
      </c>
      <c r="W69">
        <v>29</v>
      </c>
      <c r="X69">
        <v>122.23</v>
      </c>
      <c r="Y69" s="7">
        <v>7909</v>
      </c>
    </row>
    <row r="70" spans="1:25" ht="12.75" customHeight="1">
      <c r="A70">
        <v>1950</v>
      </c>
      <c r="B70" t="s">
        <v>56</v>
      </c>
      <c r="C70" s="4">
        <v>0.01</v>
      </c>
      <c r="D70" s="8">
        <v>4.91</v>
      </c>
      <c r="E70" s="4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 s="5">
        <v>0.36</v>
      </c>
      <c r="O70" t="s">
        <v>33</v>
      </c>
      <c r="P70" t="s">
        <v>34</v>
      </c>
      <c r="Q70" t="s">
        <v>35</v>
      </c>
      <c r="R70" t="s">
        <v>209</v>
      </c>
      <c r="S70" s="7">
        <v>98103</v>
      </c>
      <c r="T70" s="3">
        <v>42098</v>
      </c>
      <c r="U70" s="3">
        <v>42100</v>
      </c>
      <c r="V70" s="4">
        <v>112.06</v>
      </c>
      <c r="W70">
        <v>47</v>
      </c>
      <c r="X70">
        <v>228.46</v>
      </c>
      <c r="Y70" s="7">
        <v>13959</v>
      </c>
    </row>
    <row r="71" spans="1:25" ht="12.75" customHeight="1">
      <c r="A71">
        <v>1951</v>
      </c>
      <c r="B71" t="s">
        <v>56</v>
      </c>
      <c r="C71" s="4">
        <v>0.09</v>
      </c>
      <c r="D71" s="8">
        <v>4</v>
      </c>
      <c r="E71" s="4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 s="5">
        <v>0.37</v>
      </c>
      <c r="O71" t="s">
        <v>33</v>
      </c>
      <c r="P71" t="s">
        <v>34</v>
      </c>
      <c r="Q71" t="s">
        <v>35</v>
      </c>
      <c r="R71" t="s">
        <v>209</v>
      </c>
      <c r="S71" s="7">
        <v>98103</v>
      </c>
      <c r="T71" s="3">
        <v>42098</v>
      </c>
      <c r="U71" s="3">
        <v>42100</v>
      </c>
      <c r="V71" s="4">
        <v>16.79</v>
      </c>
      <c r="W71">
        <v>19</v>
      </c>
      <c r="X71">
        <v>77.61</v>
      </c>
      <c r="Y71" s="7">
        <v>13959</v>
      </c>
    </row>
    <row r="72" spans="1:25" ht="12.75" customHeight="1">
      <c r="A72">
        <v>8241</v>
      </c>
      <c r="B72" t="s">
        <v>106</v>
      </c>
      <c r="C72" s="4">
        <v>7.0000000000000007E-2</v>
      </c>
      <c r="D72" s="8">
        <v>2.12</v>
      </c>
      <c r="E72" s="4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 s="5">
        <v>0.55000000000000004</v>
      </c>
      <c r="O72" t="s">
        <v>33</v>
      </c>
      <c r="P72" t="s">
        <v>34</v>
      </c>
      <c r="Q72" t="s">
        <v>35</v>
      </c>
      <c r="R72" t="s">
        <v>209</v>
      </c>
      <c r="S72" s="7">
        <v>98103</v>
      </c>
      <c r="T72" s="3">
        <v>42103</v>
      </c>
      <c r="U72" s="3">
        <v>42105</v>
      </c>
      <c r="V72" s="4">
        <v>-55.84</v>
      </c>
      <c r="W72">
        <v>46</v>
      </c>
      <c r="X72">
        <v>99.94</v>
      </c>
      <c r="Y72" s="7">
        <v>58914</v>
      </c>
    </row>
    <row r="73" spans="1:25" ht="12.75" customHeight="1">
      <c r="A73">
        <v>20688</v>
      </c>
      <c r="B73" t="s">
        <v>25</v>
      </c>
      <c r="C73" s="4">
        <v>0.05</v>
      </c>
      <c r="D73" s="8">
        <v>6.3</v>
      </c>
      <c r="E73" s="4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 s="5">
        <v>0.39</v>
      </c>
      <c r="O73" t="s">
        <v>33</v>
      </c>
      <c r="P73" t="s">
        <v>34</v>
      </c>
      <c r="Q73" t="s">
        <v>212</v>
      </c>
      <c r="R73" t="s">
        <v>213</v>
      </c>
      <c r="S73" s="7">
        <v>84041</v>
      </c>
      <c r="T73" s="3">
        <v>42016</v>
      </c>
      <c r="U73" s="3">
        <v>42017</v>
      </c>
      <c r="V73" s="4">
        <v>41.296499999999995</v>
      </c>
      <c r="W73">
        <v>10</v>
      </c>
      <c r="X73">
        <v>59.85</v>
      </c>
      <c r="Y73" s="7">
        <v>86520</v>
      </c>
    </row>
    <row r="74" spans="1:25" ht="12.75" customHeight="1">
      <c r="A74">
        <v>20689</v>
      </c>
      <c r="B74" t="s">
        <v>25</v>
      </c>
      <c r="C74" s="4">
        <v>0.09</v>
      </c>
      <c r="D74" s="8">
        <v>205.99</v>
      </c>
      <c r="E74" s="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 s="5">
        <v>0.57999999999999996</v>
      </c>
      <c r="O74" t="s">
        <v>33</v>
      </c>
      <c r="P74" t="s">
        <v>34</v>
      </c>
      <c r="Q74" t="s">
        <v>212</v>
      </c>
      <c r="R74" t="s">
        <v>213</v>
      </c>
      <c r="S74" s="7">
        <v>84041</v>
      </c>
      <c r="T74" s="3">
        <v>42016</v>
      </c>
      <c r="U74" s="3">
        <v>42018</v>
      </c>
      <c r="V74" s="4">
        <v>1179.0237</v>
      </c>
      <c r="W74">
        <v>10</v>
      </c>
      <c r="X74">
        <v>1708.73</v>
      </c>
      <c r="Y74" s="7">
        <v>86520</v>
      </c>
    </row>
    <row r="75" spans="1:25" ht="12.75" customHeight="1">
      <c r="A75">
        <v>19942</v>
      </c>
      <c r="B75" t="s">
        <v>47</v>
      </c>
      <c r="C75" s="4">
        <v>0.06</v>
      </c>
      <c r="D75" s="8">
        <v>8.57</v>
      </c>
      <c r="E75" s="4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 s="5">
        <v>0.59</v>
      </c>
      <c r="O75" t="s">
        <v>33</v>
      </c>
      <c r="P75" t="s">
        <v>136</v>
      </c>
      <c r="Q75" t="s">
        <v>137</v>
      </c>
      <c r="R75" t="s">
        <v>217</v>
      </c>
      <c r="S75" s="7">
        <v>22102</v>
      </c>
      <c r="T75" s="3">
        <v>42103</v>
      </c>
      <c r="U75" s="3">
        <v>42104</v>
      </c>
      <c r="V75" s="4">
        <v>105.678</v>
      </c>
      <c r="W75">
        <v>11</v>
      </c>
      <c r="X75">
        <v>94.97</v>
      </c>
      <c r="Y75" s="7">
        <v>90669</v>
      </c>
    </row>
    <row r="76" spans="1:25" ht="12.75" customHeight="1">
      <c r="A76">
        <v>24319</v>
      </c>
      <c r="B76" t="s">
        <v>37</v>
      </c>
      <c r="C76" s="4">
        <v>0.02</v>
      </c>
      <c r="D76" s="8">
        <v>1.74</v>
      </c>
      <c r="E76" s="4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 s="5">
        <v>0.53</v>
      </c>
      <c r="O76" t="s">
        <v>33</v>
      </c>
      <c r="P76" t="s">
        <v>61</v>
      </c>
      <c r="Q76" t="s">
        <v>178</v>
      </c>
      <c r="R76" t="s">
        <v>220</v>
      </c>
      <c r="S76" s="7">
        <v>62002</v>
      </c>
      <c r="T76" s="3">
        <v>42031</v>
      </c>
      <c r="U76" s="3">
        <v>42032</v>
      </c>
      <c r="V76" s="4">
        <v>-37.39</v>
      </c>
      <c r="W76">
        <v>5</v>
      </c>
      <c r="X76">
        <v>10.23</v>
      </c>
      <c r="Y76" s="7">
        <v>86693</v>
      </c>
    </row>
    <row r="77" spans="1:25" ht="12.75" customHeight="1">
      <c r="A77">
        <v>18161</v>
      </c>
      <c r="B77" t="s">
        <v>37</v>
      </c>
      <c r="C77" s="4">
        <v>7.0000000000000007E-2</v>
      </c>
      <c r="D77" s="8">
        <v>15.74</v>
      </c>
      <c r="E77" s="4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 s="5">
        <v>0.4</v>
      </c>
      <c r="O77" t="s">
        <v>33</v>
      </c>
      <c r="P77" t="s">
        <v>61</v>
      </c>
      <c r="Q77" t="s">
        <v>178</v>
      </c>
      <c r="R77" t="s">
        <v>220</v>
      </c>
      <c r="S77" s="7">
        <v>62002</v>
      </c>
      <c r="T77" s="3">
        <v>42149</v>
      </c>
      <c r="U77" s="3">
        <v>42150</v>
      </c>
      <c r="V77" s="4">
        <v>149.88869999999997</v>
      </c>
      <c r="W77">
        <v>14</v>
      </c>
      <c r="X77">
        <v>217.23</v>
      </c>
      <c r="Y77" s="7">
        <v>86694</v>
      </c>
    </row>
    <row r="78" spans="1:25" ht="12.75" customHeight="1">
      <c r="A78">
        <v>25762</v>
      </c>
      <c r="B78" t="s">
        <v>47</v>
      </c>
      <c r="C78" s="4">
        <v>0.04</v>
      </c>
      <c r="D78" s="8">
        <v>18.97</v>
      </c>
      <c r="E78" s="4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 s="5">
        <v>0.37</v>
      </c>
      <c r="O78" t="s">
        <v>33</v>
      </c>
      <c r="P78" t="s">
        <v>34</v>
      </c>
      <c r="Q78" t="s">
        <v>45</v>
      </c>
      <c r="R78" t="s">
        <v>224</v>
      </c>
      <c r="S78" s="7">
        <v>94952</v>
      </c>
      <c r="T78" s="3">
        <v>42140</v>
      </c>
      <c r="U78" s="3">
        <v>42141</v>
      </c>
      <c r="V78" s="4">
        <v>3.0400000000000027</v>
      </c>
      <c r="W78">
        <v>5</v>
      </c>
      <c r="X78">
        <v>101.74</v>
      </c>
      <c r="Y78" s="7">
        <v>88534</v>
      </c>
    </row>
    <row r="79" spans="1:25" ht="12.75" customHeight="1">
      <c r="A79">
        <v>25764</v>
      </c>
      <c r="B79" t="s">
        <v>47</v>
      </c>
      <c r="C79" s="4">
        <v>0.09</v>
      </c>
      <c r="D79" s="8">
        <v>10.98</v>
      </c>
      <c r="E79" s="4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 s="5">
        <v>0.56999999999999995</v>
      </c>
      <c r="O79" t="s">
        <v>33</v>
      </c>
      <c r="P79" t="s">
        <v>34</v>
      </c>
      <c r="Q79" t="s">
        <v>45</v>
      </c>
      <c r="R79" t="s">
        <v>224</v>
      </c>
      <c r="S79" s="7">
        <v>94952</v>
      </c>
      <c r="T79" s="3">
        <v>42140</v>
      </c>
      <c r="U79" s="3">
        <v>42141</v>
      </c>
      <c r="V79" s="4">
        <v>2.7060000000000013</v>
      </c>
      <c r="W79">
        <v>8</v>
      </c>
      <c r="X79">
        <v>84.52</v>
      </c>
      <c r="Y79" s="7">
        <v>88534</v>
      </c>
    </row>
    <row r="80" spans="1:25" ht="12.75" customHeight="1">
      <c r="A80">
        <v>24803</v>
      </c>
      <c r="B80" t="s">
        <v>47</v>
      </c>
      <c r="C80" s="4">
        <v>0.03</v>
      </c>
      <c r="D80" s="8">
        <v>22.84</v>
      </c>
      <c r="E80" s="4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 s="5">
        <v>0.39</v>
      </c>
      <c r="O80" t="s">
        <v>33</v>
      </c>
      <c r="P80" t="s">
        <v>53</v>
      </c>
      <c r="Q80" t="s">
        <v>228</v>
      </c>
      <c r="R80" t="s">
        <v>229</v>
      </c>
      <c r="S80" s="7">
        <v>6401</v>
      </c>
      <c r="T80" s="3">
        <v>42157</v>
      </c>
      <c r="U80" s="3">
        <v>42158</v>
      </c>
      <c r="V80" s="4">
        <v>91.955999999999989</v>
      </c>
      <c r="W80">
        <v>13</v>
      </c>
      <c r="X80">
        <v>312.58999999999997</v>
      </c>
      <c r="Y80" s="7">
        <v>91087</v>
      </c>
    </row>
    <row r="81" spans="1:25" ht="12.75" customHeight="1">
      <c r="A81">
        <v>24805</v>
      </c>
      <c r="B81" t="s">
        <v>47</v>
      </c>
      <c r="C81" s="4">
        <v>0.05</v>
      </c>
      <c r="D81" s="8">
        <v>10.98</v>
      </c>
      <c r="E81" s="4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 s="5">
        <v>0.56999999999999995</v>
      </c>
      <c r="O81" t="s">
        <v>33</v>
      </c>
      <c r="P81" t="s">
        <v>53</v>
      </c>
      <c r="Q81" t="s">
        <v>193</v>
      </c>
      <c r="R81" t="s">
        <v>231</v>
      </c>
      <c r="S81" s="7">
        <v>2664</v>
      </c>
      <c r="T81" s="3">
        <v>42157</v>
      </c>
      <c r="U81" s="3">
        <v>42158</v>
      </c>
      <c r="V81" s="4">
        <v>-2.544</v>
      </c>
      <c r="W81">
        <v>6</v>
      </c>
      <c r="X81">
        <v>64.400000000000006</v>
      </c>
      <c r="Y81" s="7">
        <v>91087</v>
      </c>
    </row>
    <row r="82" spans="1:25" ht="12.75" customHeight="1">
      <c r="A82">
        <v>24849</v>
      </c>
      <c r="B82" t="s">
        <v>56</v>
      </c>
      <c r="C82" s="4">
        <v>0.06</v>
      </c>
      <c r="D82" s="8">
        <v>7.04</v>
      </c>
      <c r="E82" s="4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 s="5">
        <v>0.38</v>
      </c>
      <c r="O82" t="s">
        <v>33</v>
      </c>
      <c r="P82" t="s">
        <v>53</v>
      </c>
      <c r="Q82" t="s">
        <v>234</v>
      </c>
      <c r="R82" t="s">
        <v>235</v>
      </c>
      <c r="S82" s="7">
        <v>15122</v>
      </c>
      <c r="T82" s="3">
        <v>42019</v>
      </c>
      <c r="U82" s="3">
        <v>42021</v>
      </c>
      <c r="V82" s="4">
        <v>2.4851999999999999</v>
      </c>
      <c r="W82">
        <v>2</v>
      </c>
      <c r="X82">
        <v>14.65</v>
      </c>
      <c r="Y82" s="7">
        <v>91086</v>
      </c>
    </row>
    <row r="83" spans="1:25" ht="12.75" customHeight="1">
      <c r="A83">
        <v>25582</v>
      </c>
      <c r="B83" t="s">
        <v>106</v>
      </c>
      <c r="C83" s="4">
        <v>7.0000000000000007E-2</v>
      </c>
      <c r="D83" s="8">
        <v>154.13</v>
      </c>
      <c r="E83" s="4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 s="5">
        <v>0.68</v>
      </c>
      <c r="O83" t="s">
        <v>33</v>
      </c>
      <c r="P83" t="s">
        <v>53</v>
      </c>
      <c r="Q83" t="s">
        <v>234</v>
      </c>
      <c r="R83" t="s">
        <v>235</v>
      </c>
      <c r="S83" s="7">
        <v>15122</v>
      </c>
      <c r="T83" s="3">
        <v>42079</v>
      </c>
      <c r="U83" s="3">
        <v>42079</v>
      </c>
      <c r="V83" s="4">
        <v>-634.73410000000013</v>
      </c>
      <c r="W83">
        <v>3</v>
      </c>
      <c r="X83">
        <v>453.62</v>
      </c>
      <c r="Y83" s="7">
        <v>91089</v>
      </c>
    </row>
    <row r="84" spans="1:25" ht="12.75" customHeight="1">
      <c r="A84">
        <v>23365</v>
      </c>
      <c r="B84" t="s">
        <v>37</v>
      </c>
      <c r="C84" s="4">
        <v>0.01</v>
      </c>
      <c r="D84" s="8">
        <v>45.98</v>
      </c>
      <c r="E84" s="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 s="5">
        <v>0.68</v>
      </c>
      <c r="O84" t="s">
        <v>33</v>
      </c>
      <c r="P84" t="s">
        <v>61</v>
      </c>
      <c r="Q84" t="s">
        <v>130</v>
      </c>
      <c r="R84" t="s">
        <v>240</v>
      </c>
      <c r="S84" s="7">
        <v>76148</v>
      </c>
      <c r="T84" s="3">
        <v>42075</v>
      </c>
      <c r="U84" s="3">
        <v>42076</v>
      </c>
      <c r="V84" s="4">
        <v>133.5771</v>
      </c>
      <c r="W84">
        <v>4</v>
      </c>
      <c r="X84">
        <v>193.59</v>
      </c>
      <c r="Y84" s="7">
        <v>91088</v>
      </c>
    </row>
    <row r="85" spans="1:25" ht="12.75" customHeight="1">
      <c r="A85">
        <v>22907</v>
      </c>
      <c r="B85" t="s">
        <v>56</v>
      </c>
      <c r="C85" s="4">
        <v>0.06</v>
      </c>
      <c r="D85" s="8">
        <v>180.98</v>
      </c>
      <c r="E85" s="4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 s="5">
        <v>0.59</v>
      </c>
      <c r="O85" t="s">
        <v>33</v>
      </c>
      <c r="P85" t="s">
        <v>61</v>
      </c>
      <c r="Q85" t="s">
        <v>130</v>
      </c>
      <c r="R85" t="s">
        <v>240</v>
      </c>
      <c r="S85" s="7">
        <v>76148</v>
      </c>
      <c r="T85" s="3">
        <v>42117</v>
      </c>
      <c r="U85" s="3">
        <v>42118</v>
      </c>
      <c r="V85" s="4">
        <v>251.40839999999997</v>
      </c>
      <c r="W85">
        <v>5</v>
      </c>
      <c r="X85">
        <v>929.57</v>
      </c>
      <c r="Y85" s="7">
        <v>91090</v>
      </c>
    </row>
    <row r="86" spans="1:25" ht="12.75" customHeight="1">
      <c r="A86">
        <v>19058</v>
      </c>
      <c r="B86" t="s">
        <v>47</v>
      </c>
      <c r="C86" s="4">
        <v>0.09</v>
      </c>
      <c r="D86" s="8">
        <v>32.979999999999997</v>
      </c>
      <c r="E86" s="4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 s="5">
        <v>0.75</v>
      </c>
      <c r="O86" t="s">
        <v>33</v>
      </c>
      <c r="P86" t="s">
        <v>136</v>
      </c>
      <c r="Q86" t="s">
        <v>244</v>
      </c>
      <c r="R86" t="s">
        <v>245</v>
      </c>
      <c r="S86" s="7">
        <v>37664</v>
      </c>
      <c r="T86" s="3">
        <v>42026</v>
      </c>
      <c r="U86" s="3">
        <v>42027</v>
      </c>
      <c r="V86" s="4">
        <v>-20.258000000000003</v>
      </c>
      <c r="W86">
        <v>2</v>
      </c>
      <c r="X86">
        <v>62.46</v>
      </c>
      <c r="Y86" s="7">
        <v>89521</v>
      </c>
    </row>
    <row r="87" spans="1:25" ht="12.75" customHeight="1">
      <c r="A87">
        <v>20679</v>
      </c>
      <c r="B87" t="s">
        <v>25</v>
      </c>
      <c r="C87" s="4">
        <v>0.09</v>
      </c>
      <c r="D87" s="8">
        <v>5.98</v>
      </c>
      <c r="E87" s="4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 s="5">
        <v>0.36</v>
      </c>
      <c r="O87" t="s">
        <v>33</v>
      </c>
      <c r="P87" t="s">
        <v>136</v>
      </c>
      <c r="Q87" t="s">
        <v>244</v>
      </c>
      <c r="R87" t="s">
        <v>245</v>
      </c>
      <c r="S87" s="7">
        <v>37664</v>
      </c>
      <c r="T87" s="3">
        <v>42114</v>
      </c>
      <c r="U87" s="3">
        <v>42116</v>
      </c>
      <c r="V87" s="4">
        <v>13.895999999999999</v>
      </c>
      <c r="W87">
        <v>5</v>
      </c>
      <c r="X87">
        <v>28.11</v>
      </c>
      <c r="Y87" s="7">
        <v>89523</v>
      </c>
    </row>
    <row r="88" spans="1:25" ht="12.75" customHeight="1">
      <c r="A88">
        <v>21103</v>
      </c>
      <c r="B88" t="s">
        <v>47</v>
      </c>
      <c r="C88" s="4">
        <v>0.09</v>
      </c>
      <c r="D88" s="8">
        <v>2.88</v>
      </c>
      <c r="E88" s="4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 s="5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 s="7">
        <v>37918</v>
      </c>
      <c r="T88" s="3">
        <v>42019</v>
      </c>
      <c r="U88" s="3">
        <v>42020</v>
      </c>
      <c r="V88" s="4">
        <v>-172.71800000000002</v>
      </c>
      <c r="W88">
        <v>2</v>
      </c>
      <c r="X88">
        <v>5.5</v>
      </c>
      <c r="Y88" s="7">
        <v>89520</v>
      </c>
    </row>
    <row r="89" spans="1:25" ht="12.75" customHeight="1">
      <c r="A89">
        <v>22243</v>
      </c>
      <c r="B89" t="s">
        <v>106</v>
      </c>
      <c r="C89" s="4">
        <v>0.01</v>
      </c>
      <c r="D89" s="8">
        <v>79.52</v>
      </c>
      <c r="E89" s="4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 s="5">
        <v>0.74</v>
      </c>
      <c r="O89" t="s">
        <v>33</v>
      </c>
      <c r="P89" t="s">
        <v>136</v>
      </c>
      <c r="Q89" t="s">
        <v>244</v>
      </c>
      <c r="R89" t="s">
        <v>249</v>
      </c>
      <c r="S89" s="7">
        <v>37918</v>
      </c>
      <c r="T89" s="3">
        <v>42113</v>
      </c>
      <c r="U89" s="3">
        <v>42120</v>
      </c>
      <c r="V89" s="4">
        <v>-40.683999999999997</v>
      </c>
      <c r="W89">
        <v>8</v>
      </c>
      <c r="X89">
        <v>667.84</v>
      </c>
      <c r="Y89" s="7">
        <v>89522</v>
      </c>
    </row>
    <row r="90" spans="1:25" ht="12.75" customHeight="1">
      <c r="A90">
        <v>21767</v>
      </c>
      <c r="B90" t="s">
        <v>25</v>
      </c>
      <c r="C90" s="4">
        <v>0.01</v>
      </c>
      <c r="D90" s="8">
        <v>65.989999999999995</v>
      </c>
      <c r="E90" s="4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 s="5">
        <v>0.6</v>
      </c>
      <c r="O90" t="s">
        <v>33</v>
      </c>
      <c r="P90" t="s">
        <v>136</v>
      </c>
      <c r="Q90" t="s">
        <v>244</v>
      </c>
      <c r="R90" t="s">
        <v>249</v>
      </c>
      <c r="S90" s="7">
        <v>37918</v>
      </c>
      <c r="T90" s="3">
        <v>42092</v>
      </c>
      <c r="U90" s="3">
        <v>42095</v>
      </c>
      <c r="V90" s="4">
        <v>97.86</v>
      </c>
      <c r="W90">
        <v>5</v>
      </c>
      <c r="X90">
        <v>292.23</v>
      </c>
      <c r="Y90" s="7">
        <v>89524</v>
      </c>
    </row>
    <row r="91" spans="1:25" ht="12.75" customHeight="1">
      <c r="A91">
        <v>22470</v>
      </c>
      <c r="B91" t="s">
        <v>106</v>
      </c>
      <c r="C91" s="4">
        <v>0.1</v>
      </c>
      <c r="D91" s="8">
        <v>39.979999999999997</v>
      </c>
      <c r="E91" s="4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 s="5">
        <v>0.7</v>
      </c>
      <c r="O91" t="s">
        <v>33</v>
      </c>
      <c r="P91" t="s">
        <v>136</v>
      </c>
      <c r="Q91" t="s">
        <v>244</v>
      </c>
      <c r="R91" t="s">
        <v>249</v>
      </c>
      <c r="S91" s="7">
        <v>37918</v>
      </c>
      <c r="T91" s="3">
        <v>42173</v>
      </c>
      <c r="U91" s="3">
        <v>42177</v>
      </c>
      <c r="V91" s="4">
        <v>360.24</v>
      </c>
      <c r="W91">
        <v>21</v>
      </c>
      <c r="X91">
        <v>772.56</v>
      </c>
      <c r="Y91" s="7">
        <v>89525</v>
      </c>
    </row>
    <row r="92" spans="1:25" ht="12.75" customHeight="1">
      <c r="A92">
        <v>22329</v>
      </c>
      <c r="B92" t="s">
        <v>47</v>
      </c>
      <c r="C92" s="4">
        <v>0.01</v>
      </c>
      <c r="D92" s="8">
        <v>95.99</v>
      </c>
      <c r="E92" s="4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 s="5">
        <v>0.56000000000000005</v>
      </c>
      <c r="O92" t="s">
        <v>33</v>
      </c>
      <c r="P92" t="s">
        <v>34</v>
      </c>
      <c r="Q92" t="s">
        <v>255</v>
      </c>
      <c r="R92" t="s">
        <v>256</v>
      </c>
      <c r="S92" s="7">
        <v>80525</v>
      </c>
      <c r="T92" s="3">
        <v>42138</v>
      </c>
      <c r="U92" s="3">
        <v>42139</v>
      </c>
      <c r="V92" s="4">
        <v>713.88</v>
      </c>
      <c r="W92">
        <v>13</v>
      </c>
      <c r="X92">
        <v>1050.08</v>
      </c>
      <c r="Y92" s="7">
        <v>87671</v>
      </c>
    </row>
    <row r="93" spans="1:25" ht="12.75" customHeight="1">
      <c r="A93">
        <v>20324</v>
      </c>
      <c r="B93" t="s">
        <v>25</v>
      </c>
      <c r="C93" s="4">
        <v>0.03</v>
      </c>
      <c r="D93" s="8">
        <v>10.89</v>
      </c>
      <c r="E93" s="4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 s="5">
        <v>0.59</v>
      </c>
      <c r="O93" t="s">
        <v>33</v>
      </c>
      <c r="P93" t="s">
        <v>34</v>
      </c>
      <c r="Q93" t="s">
        <v>255</v>
      </c>
      <c r="R93" t="s">
        <v>256</v>
      </c>
      <c r="S93" s="7">
        <v>80525</v>
      </c>
      <c r="T93" s="3">
        <v>42029</v>
      </c>
      <c r="U93" s="3">
        <v>42030</v>
      </c>
      <c r="V93" s="4">
        <v>-18.64</v>
      </c>
      <c r="W93">
        <v>3</v>
      </c>
      <c r="X93">
        <v>33.82</v>
      </c>
      <c r="Y93" s="7">
        <v>87672</v>
      </c>
    </row>
    <row r="94" spans="1:25" ht="12.75" customHeight="1">
      <c r="A94">
        <v>26102</v>
      </c>
      <c r="B94" t="s">
        <v>56</v>
      </c>
      <c r="C94" s="4">
        <v>0.05</v>
      </c>
      <c r="D94" s="8">
        <v>100.98</v>
      </c>
      <c r="E94" s="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 s="5">
        <v>0.62</v>
      </c>
      <c r="O94" t="s">
        <v>33</v>
      </c>
      <c r="P94" t="s">
        <v>34</v>
      </c>
      <c r="Q94" t="s">
        <v>35</v>
      </c>
      <c r="R94" t="s">
        <v>261</v>
      </c>
      <c r="S94" s="7">
        <v>99352</v>
      </c>
      <c r="T94" s="3">
        <v>42006</v>
      </c>
      <c r="U94" s="3">
        <v>42008</v>
      </c>
      <c r="V94" s="4">
        <v>-111.4</v>
      </c>
      <c r="W94">
        <v>7</v>
      </c>
      <c r="X94">
        <v>715.55</v>
      </c>
      <c r="Y94" s="7">
        <v>89961</v>
      </c>
    </row>
    <row r="95" spans="1:25" ht="12.75" customHeight="1">
      <c r="A95">
        <v>26103</v>
      </c>
      <c r="B95" t="s">
        <v>56</v>
      </c>
      <c r="C95" s="4">
        <v>0.02</v>
      </c>
      <c r="D95" s="8">
        <v>4.9800000000000004</v>
      </c>
      <c r="E95" s="4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 s="5">
        <v>0.38</v>
      </c>
      <c r="O95" t="s">
        <v>33</v>
      </c>
      <c r="P95" t="s">
        <v>34</v>
      </c>
      <c r="Q95" t="s">
        <v>35</v>
      </c>
      <c r="R95" t="s">
        <v>261</v>
      </c>
      <c r="S95" s="7">
        <v>99352</v>
      </c>
      <c r="T95" s="3">
        <v>42006</v>
      </c>
      <c r="U95" s="3">
        <v>42007</v>
      </c>
      <c r="V95" s="4">
        <v>-77.03</v>
      </c>
      <c r="W95">
        <v>9</v>
      </c>
      <c r="X95">
        <v>45.63</v>
      </c>
      <c r="Y95" s="7">
        <v>89961</v>
      </c>
    </row>
    <row r="96" spans="1:25" ht="12.75" customHeight="1">
      <c r="A96">
        <v>21040</v>
      </c>
      <c r="B96" t="s">
        <v>106</v>
      </c>
      <c r="C96" s="4">
        <v>0.08</v>
      </c>
      <c r="D96" s="8">
        <v>399.98</v>
      </c>
      <c r="E96" s="4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 s="5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 s="7">
        <v>37087</v>
      </c>
      <c r="T96" s="3">
        <v>42015</v>
      </c>
      <c r="U96" s="3">
        <v>42022</v>
      </c>
      <c r="V96" s="4">
        <v>28.514099999999999</v>
      </c>
      <c r="W96">
        <v>5</v>
      </c>
      <c r="X96">
        <v>1839.91</v>
      </c>
      <c r="Y96" s="7">
        <v>89426</v>
      </c>
    </row>
    <row r="97" spans="1:25" ht="12.75" customHeight="1">
      <c r="A97">
        <v>19315</v>
      </c>
      <c r="B97" t="s">
        <v>106</v>
      </c>
      <c r="C97" s="4">
        <v>0.08</v>
      </c>
      <c r="D97" s="8">
        <v>43.22</v>
      </c>
      <c r="E97" s="4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 s="5">
        <v>0.66</v>
      </c>
      <c r="O97" t="s">
        <v>33</v>
      </c>
      <c r="P97" t="s">
        <v>136</v>
      </c>
      <c r="Q97" t="s">
        <v>171</v>
      </c>
      <c r="R97" t="s">
        <v>268</v>
      </c>
      <c r="S97" s="7">
        <v>70802</v>
      </c>
      <c r="T97" s="3">
        <v>42007</v>
      </c>
      <c r="U97" s="3">
        <v>42009</v>
      </c>
      <c r="V97" s="4">
        <v>280.27458000000001</v>
      </c>
      <c r="W97">
        <v>3</v>
      </c>
      <c r="X97">
        <v>130.62</v>
      </c>
      <c r="Y97" s="7">
        <v>87463</v>
      </c>
    </row>
    <row r="98" spans="1:25" ht="12.75" customHeight="1">
      <c r="A98">
        <v>19316</v>
      </c>
      <c r="B98" t="s">
        <v>106</v>
      </c>
      <c r="C98" s="4">
        <v>0.05</v>
      </c>
      <c r="D98" s="8">
        <v>574.74</v>
      </c>
      <c r="E98" s="4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 s="5">
        <v>0.37</v>
      </c>
      <c r="O98" t="s">
        <v>33</v>
      </c>
      <c r="P98" t="s">
        <v>136</v>
      </c>
      <c r="Q98" t="s">
        <v>171</v>
      </c>
      <c r="R98" t="s">
        <v>268</v>
      </c>
      <c r="S98" s="7">
        <v>70802</v>
      </c>
      <c r="T98" s="3">
        <v>42007</v>
      </c>
      <c r="U98" s="3">
        <v>42014</v>
      </c>
      <c r="V98" s="4">
        <v>-112.4263</v>
      </c>
      <c r="W98">
        <v>12</v>
      </c>
      <c r="X98">
        <v>6945.16</v>
      </c>
      <c r="Y98" s="7">
        <v>87463</v>
      </c>
    </row>
    <row r="99" spans="1:25" ht="12.75" customHeight="1">
      <c r="A99">
        <v>19317</v>
      </c>
      <c r="B99" t="s">
        <v>106</v>
      </c>
      <c r="C99" s="4">
        <v>0.04</v>
      </c>
      <c r="D99" s="8">
        <v>10.14</v>
      </c>
      <c r="E99" s="4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 s="5">
        <v>0.36</v>
      </c>
      <c r="O99" t="s">
        <v>33</v>
      </c>
      <c r="P99" t="s">
        <v>136</v>
      </c>
      <c r="Q99" t="s">
        <v>171</v>
      </c>
      <c r="R99" t="s">
        <v>268</v>
      </c>
      <c r="S99" s="7">
        <v>70802</v>
      </c>
      <c r="T99" s="3">
        <v>42007</v>
      </c>
      <c r="U99" s="3">
        <v>42011</v>
      </c>
      <c r="V99" s="4">
        <v>24.923999999999999</v>
      </c>
      <c r="W99">
        <v>3</v>
      </c>
      <c r="X99">
        <v>30.94</v>
      </c>
      <c r="Y99" s="7">
        <v>87463</v>
      </c>
    </row>
    <row r="100" spans="1:25" ht="12.75" customHeight="1">
      <c r="A100">
        <v>19314</v>
      </c>
      <c r="B100" t="s">
        <v>47</v>
      </c>
      <c r="C100" s="4">
        <v>0.05</v>
      </c>
      <c r="D100" s="8">
        <v>1.88</v>
      </c>
      <c r="E100" s="4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 s="5">
        <v>0.37</v>
      </c>
      <c r="O100" t="s">
        <v>33</v>
      </c>
      <c r="P100" t="s">
        <v>53</v>
      </c>
      <c r="Q100" t="s">
        <v>54</v>
      </c>
      <c r="R100" t="s">
        <v>273</v>
      </c>
      <c r="S100" s="7">
        <v>7024</v>
      </c>
      <c r="T100" s="3">
        <v>42107</v>
      </c>
      <c r="U100" s="3">
        <v>42109</v>
      </c>
      <c r="V100" s="4">
        <v>-2.9094999999999995</v>
      </c>
      <c r="W100">
        <v>1</v>
      </c>
      <c r="X100">
        <v>3.42</v>
      </c>
      <c r="Y100" s="7">
        <v>87464</v>
      </c>
    </row>
    <row r="101" spans="1:25" ht="12.75" customHeight="1">
      <c r="A101">
        <v>5361</v>
      </c>
      <c r="B101" t="s">
        <v>47</v>
      </c>
      <c r="C101" s="4">
        <v>0.02</v>
      </c>
      <c r="D101" s="8">
        <v>49.99</v>
      </c>
      <c r="E101" s="4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 s="5">
        <v>0.41</v>
      </c>
      <c r="O101" t="s">
        <v>33</v>
      </c>
      <c r="P101" t="s">
        <v>34</v>
      </c>
      <c r="Q101" t="s">
        <v>45</v>
      </c>
      <c r="R101" t="s">
        <v>276</v>
      </c>
      <c r="S101" s="7">
        <v>94122</v>
      </c>
      <c r="T101" s="3">
        <v>42056</v>
      </c>
      <c r="U101" s="3">
        <v>42056</v>
      </c>
      <c r="V101" s="4">
        <v>-76.89</v>
      </c>
      <c r="W101">
        <v>18</v>
      </c>
      <c r="X101">
        <v>901.81</v>
      </c>
      <c r="Y101" s="7">
        <v>38087</v>
      </c>
    </row>
    <row r="102" spans="1:25" ht="12.75" customHeight="1">
      <c r="A102">
        <v>522</v>
      </c>
      <c r="B102" t="s">
        <v>25</v>
      </c>
      <c r="C102" s="4">
        <v>7.0000000000000007E-2</v>
      </c>
      <c r="D102" s="8">
        <v>1.68</v>
      </c>
      <c r="E102" s="4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 s="5">
        <v>0.59</v>
      </c>
      <c r="O102" t="s">
        <v>33</v>
      </c>
      <c r="P102" t="s">
        <v>34</v>
      </c>
      <c r="Q102" t="s">
        <v>45</v>
      </c>
      <c r="R102" t="s">
        <v>276</v>
      </c>
      <c r="S102" s="7">
        <v>94122</v>
      </c>
      <c r="T102" s="3">
        <v>42146</v>
      </c>
      <c r="U102" s="3">
        <v>42147</v>
      </c>
      <c r="V102" s="4">
        <v>-35.75</v>
      </c>
      <c r="W102">
        <v>116</v>
      </c>
      <c r="X102">
        <v>186.59</v>
      </c>
      <c r="Y102" s="7">
        <v>3585</v>
      </c>
    </row>
    <row r="103" spans="1:25" ht="12.75" customHeight="1">
      <c r="A103">
        <v>23361</v>
      </c>
      <c r="B103" t="s">
        <v>47</v>
      </c>
      <c r="C103" s="4">
        <v>0.02</v>
      </c>
      <c r="D103" s="8">
        <v>49.99</v>
      </c>
      <c r="E103" s="4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 s="5">
        <v>0.41</v>
      </c>
      <c r="O103" t="s">
        <v>33</v>
      </c>
      <c r="P103" t="s">
        <v>53</v>
      </c>
      <c r="Q103" t="s">
        <v>193</v>
      </c>
      <c r="R103" t="s">
        <v>278</v>
      </c>
      <c r="S103" s="7">
        <v>2474</v>
      </c>
      <c r="T103" s="3">
        <v>42056</v>
      </c>
      <c r="U103" s="3">
        <v>42056</v>
      </c>
      <c r="V103" s="4">
        <v>-76.89</v>
      </c>
      <c r="W103">
        <v>5</v>
      </c>
      <c r="X103">
        <v>250.5</v>
      </c>
      <c r="Y103" s="7">
        <v>88360</v>
      </c>
    </row>
    <row r="104" spans="1:25" ht="12.75" customHeight="1">
      <c r="A104">
        <v>18521</v>
      </c>
      <c r="B104" t="s">
        <v>25</v>
      </c>
      <c r="C104" s="4">
        <v>7.0000000000000007E-2</v>
      </c>
      <c r="D104" s="8">
        <v>10.06</v>
      </c>
      <c r="E104" s="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 s="5">
        <v>0.39</v>
      </c>
      <c r="O104" t="s">
        <v>33</v>
      </c>
      <c r="P104" t="s">
        <v>61</v>
      </c>
      <c r="Q104" t="s">
        <v>130</v>
      </c>
      <c r="R104" t="s">
        <v>281</v>
      </c>
      <c r="S104" s="7">
        <v>76240</v>
      </c>
      <c r="T104" s="3">
        <v>42146</v>
      </c>
      <c r="U104" s="3">
        <v>42146</v>
      </c>
      <c r="V104" s="4">
        <v>152.65559999999999</v>
      </c>
      <c r="W104">
        <v>23</v>
      </c>
      <c r="X104">
        <v>221.24</v>
      </c>
      <c r="Y104" s="7">
        <v>88361</v>
      </c>
    </row>
    <row r="105" spans="1:25" ht="12.75" customHeight="1">
      <c r="A105">
        <v>18522</v>
      </c>
      <c r="B105" t="s">
        <v>25</v>
      </c>
      <c r="C105" s="4">
        <v>7.0000000000000007E-2</v>
      </c>
      <c r="D105" s="8">
        <v>1.68</v>
      </c>
      <c r="E105" s="4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 s="5">
        <v>0.59</v>
      </c>
      <c r="O105" t="s">
        <v>33</v>
      </c>
      <c r="P105" t="s">
        <v>61</v>
      </c>
      <c r="Q105" t="s">
        <v>130</v>
      </c>
      <c r="R105" t="s">
        <v>281</v>
      </c>
      <c r="S105" s="7">
        <v>76240</v>
      </c>
      <c r="T105" s="3">
        <v>42146</v>
      </c>
      <c r="U105" s="3">
        <v>42147</v>
      </c>
      <c r="V105" s="4">
        <v>7.1500000000000057</v>
      </c>
      <c r="W105">
        <v>29</v>
      </c>
      <c r="X105">
        <v>46.65</v>
      </c>
      <c r="Y105" s="7">
        <v>88361</v>
      </c>
    </row>
    <row r="106" spans="1:25" ht="12.75" customHeight="1">
      <c r="A106">
        <v>18817</v>
      </c>
      <c r="B106" t="s">
        <v>25</v>
      </c>
      <c r="C106" s="4">
        <v>0.1</v>
      </c>
      <c r="D106" s="8">
        <v>58.1</v>
      </c>
      <c r="E106" s="4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 s="5">
        <v>0.38</v>
      </c>
      <c r="O106" t="s">
        <v>33</v>
      </c>
      <c r="P106" t="s">
        <v>61</v>
      </c>
      <c r="Q106" t="s">
        <v>178</v>
      </c>
      <c r="R106" t="s">
        <v>284</v>
      </c>
      <c r="S106" s="7">
        <v>60004</v>
      </c>
      <c r="T106" s="3">
        <v>42047</v>
      </c>
      <c r="U106" s="3">
        <v>42048</v>
      </c>
      <c r="V106" s="4">
        <v>113.6499</v>
      </c>
      <c r="W106">
        <v>3</v>
      </c>
      <c r="X106">
        <v>164.71</v>
      </c>
      <c r="Y106" s="7">
        <v>89092</v>
      </c>
    </row>
    <row r="107" spans="1:25" ht="12.75" customHeight="1">
      <c r="A107">
        <v>18818</v>
      </c>
      <c r="B107" t="s">
        <v>25</v>
      </c>
      <c r="C107" s="4">
        <v>0.01</v>
      </c>
      <c r="D107" s="8">
        <v>80.48</v>
      </c>
      <c r="E107" s="4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 s="5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 s="7">
        <v>60505</v>
      </c>
      <c r="T107" s="3">
        <v>42047</v>
      </c>
      <c r="U107" s="3">
        <v>42050</v>
      </c>
      <c r="V107" s="4">
        <v>-35.474400000000003</v>
      </c>
      <c r="W107">
        <v>1</v>
      </c>
      <c r="X107">
        <v>79.680000000000007</v>
      </c>
      <c r="Y107" s="7">
        <v>89092</v>
      </c>
    </row>
    <row r="108" spans="1:25" ht="12.75" customHeight="1">
      <c r="A108">
        <v>20520</v>
      </c>
      <c r="B108" t="s">
        <v>37</v>
      </c>
      <c r="C108" s="4">
        <v>0.05</v>
      </c>
      <c r="D108" s="8">
        <v>3.8</v>
      </c>
      <c r="E108" s="4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 s="5">
        <v>0.38</v>
      </c>
      <c r="O108" t="s">
        <v>33</v>
      </c>
      <c r="P108" t="s">
        <v>61</v>
      </c>
      <c r="Q108" t="s">
        <v>178</v>
      </c>
      <c r="R108" t="s">
        <v>287</v>
      </c>
      <c r="S108" s="7">
        <v>60505</v>
      </c>
      <c r="T108" s="3">
        <v>42103</v>
      </c>
      <c r="U108" s="3">
        <v>42105</v>
      </c>
      <c r="V108" s="4">
        <v>14.466999999999999</v>
      </c>
      <c r="W108">
        <v>14</v>
      </c>
      <c r="X108">
        <v>53.26</v>
      </c>
      <c r="Y108" s="7">
        <v>89093</v>
      </c>
    </row>
    <row r="109" spans="1:25" ht="12.75" customHeight="1">
      <c r="A109">
        <v>20521</v>
      </c>
      <c r="B109" t="s">
        <v>37</v>
      </c>
      <c r="C109" s="4">
        <v>0.09</v>
      </c>
      <c r="D109" s="8">
        <v>30.73</v>
      </c>
      <c r="E109" s="4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 s="5">
        <v>0.75</v>
      </c>
      <c r="O109" t="s">
        <v>33</v>
      </c>
      <c r="P109" t="s">
        <v>61</v>
      </c>
      <c r="Q109" t="s">
        <v>178</v>
      </c>
      <c r="R109" t="s">
        <v>287</v>
      </c>
      <c r="S109" s="7">
        <v>60505</v>
      </c>
      <c r="T109" s="3">
        <v>42103</v>
      </c>
      <c r="U109" s="3">
        <v>42103</v>
      </c>
      <c r="V109" s="4">
        <v>-99.986400000000003</v>
      </c>
      <c r="W109">
        <v>7</v>
      </c>
      <c r="X109">
        <v>203.49</v>
      </c>
      <c r="Y109" s="7">
        <v>89093</v>
      </c>
    </row>
    <row r="110" spans="1:25" ht="12.75" customHeight="1">
      <c r="A110">
        <v>20522</v>
      </c>
      <c r="B110" t="s">
        <v>37</v>
      </c>
      <c r="C110" s="4">
        <v>0</v>
      </c>
      <c r="D110" s="8">
        <v>125.99</v>
      </c>
      <c r="E110" s="4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 s="5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 s="7">
        <v>60505</v>
      </c>
      <c r="T110" s="3">
        <v>42103</v>
      </c>
      <c r="U110" s="3">
        <v>42104</v>
      </c>
      <c r="V110" s="4">
        <v>1348.59672</v>
      </c>
      <c r="W110">
        <v>22</v>
      </c>
      <c r="X110">
        <v>2356.0100000000002</v>
      </c>
      <c r="Y110" s="7">
        <v>89093</v>
      </c>
    </row>
    <row r="111" spans="1:25" ht="12.75" customHeight="1">
      <c r="A111">
        <v>19663</v>
      </c>
      <c r="B111" t="s">
        <v>37</v>
      </c>
      <c r="C111" s="4">
        <v>0</v>
      </c>
      <c r="D111" s="8">
        <v>213.45</v>
      </c>
      <c r="E111" s="4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 s="5">
        <v>0.59</v>
      </c>
      <c r="O111" t="s">
        <v>33</v>
      </c>
      <c r="P111" t="s">
        <v>34</v>
      </c>
      <c r="Q111" t="s">
        <v>212</v>
      </c>
      <c r="R111" t="s">
        <v>213</v>
      </c>
      <c r="S111" s="7">
        <v>84041</v>
      </c>
      <c r="T111" s="3">
        <v>42007</v>
      </c>
      <c r="U111" s="3">
        <v>42009</v>
      </c>
      <c r="V111" s="4">
        <v>-560.81417999999996</v>
      </c>
      <c r="W111">
        <v>1</v>
      </c>
      <c r="X111">
        <v>224.12</v>
      </c>
      <c r="Y111" s="7">
        <v>90430</v>
      </c>
    </row>
    <row r="112" spans="1:25" ht="12.75" customHeight="1">
      <c r="A112">
        <v>20645</v>
      </c>
      <c r="B112" t="s">
        <v>56</v>
      </c>
      <c r="C112" s="4">
        <v>7.0000000000000007E-2</v>
      </c>
      <c r="D112" s="8">
        <v>6.54</v>
      </c>
      <c r="E112" s="4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 s="5">
        <v>0.36</v>
      </c>
      <c r="O112" t="s">
        <v>33</v>
      </c>
      <c r="P112" t="s">
        <v>34</v>
      </c>
      <c r="Q112" t="s">
        <v>212</v>
      </c>
      <c r="R112" t="s">
        <v>213</v>
      </c>
      <c r="S112" s="7">
        <v>84041</v>
      </c>
      <c r="T112" s="3">
        <v>42093</v>
      </c>
      <c r="U112" s="3">
        <v>42095</v>
      </c>
      <c r="V112" s="4">
        <v>-66.044499999999999</v>
      </c>
      <c r="W112">
        <v>21</v>
      </c>
      <c r="X112">
        <v>140.30000000000001</v>
      </c>
      <c r="Y112" s="7">
        <v>90432</v>
      </c>
    </row>
    <row r="113" spans="1:25" ht="12.75" customHeight="1">
      <c r="A113">
        <v>24273</v>
      </c>
      <c r="B113" t="s">
        <v>37</v>
      </c>
      <c r="C113" s="4">
        <v>0.02</v>
      </c>
      <c r="D113" s="8">
        <v>6.48</v>
      </c>
      <c r="E113" s="4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 s="5">
        <v>0.37</v>
      </c>
      <c r="O113" t="s">
        <v>33</v>
      </c>
      <c r="P113" t="s">
        <v>34</v>
      </c>
      <c r="Q113" t="s">
        <v>212</v>
      </c>
      <c r="R113" t="s">
        <v>295</v>
      </c>
      <c r="S113" s="7">
        <v>84043</v>
      </c>
      <c r="T113" s="3">
        <v>42014</v>
      </c>
      <c r="U113" s="3">
        <v>42015</v>
      </c>
      <c r="V113" s="4">
        <v>-105.68520000000001</v>
      </c>
      <c r="W113">
        <v>4</v>
      </c>
      <c r="X113">
        <v>28.2</v>
      </c>
      <c r="Y113" s="7">
        <v>90431</v>
      </c>
    </row>
    <row r="114" spans="1:25" ht="12.75" customHeight="1">
      <c r="A114">
        <v>20646</v>
      </c>
      <c r="B114" t="s">
        <v>56</v>
      </c>
      <c r="C114" s="4">
        <v>0.09</v>
      </c>
      <c r="D114" s="8">
        <v>3.29</v>
      </c>
      <c r="E114" s="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 s="5">
        <v>0.4</v>
      </c>
      <c r="O114" t="s">
        <v>33</v>
      </c>
      <c r="P114" t="s">
        <v>34</v>
      </c>
      <c r="Q114" t="s">
        <v>212</v>
      </c>
      <c r="R114" t="s">
        <v>295</v>
      </c>
      <c r="S114" s="7">
        <v>84043</v>
      </c>
      <c r="T114" s="3">
        <v>42093</v>
      </c>
      <c r="U114" s="3">
        <v>42095</v>
      </c>
      <c r="V114" s="4">
        <v>15.66</v>
      </c>
      <c r="W114">
        <v>23</v>
      </c>
      <c r="X114">
        <v>71.55</v>
      </c>
      <c r="Y114" s="7">
        <v>90432</v>
      </c>
    </row>
    <row r="115" spans="1:25" ht="12.75" customHeight="1">
      <c r="A115">
        <v>25158</v>
      </c>
      <c r="B115" t="s">
        <v>47</v>
      </c>
      <c r="C115" s="4">
        <v>0</v>
      </c>
      <c r="D115" s="8">
        <v>161.55000000000001</v>
      </c>
      <c r="E115" s="4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 s="5">
        <v>0.66</v>
      </c>
      <c r="O115" t="s">
        <v>33</v>
      </c>
      <c r="P115" t="s">
        <v>61</v>
      </c>
      <c r="Q115" t="s">
        <v>183</v>
      </c>
      <c r="R115" t="s">
        <v>298</v>
      </c>
      <c r="S115" s="7">
        <v>66212</v>
      </c>
      <c r="T115" s="3">
        <v>42096</v>
      </c>
      <c r="U115" s="3">
        <v>42098</v>
      </c>
      <c r="V115" s="4">
        <v>1167.1580000000001</v>
      </c>
      <c r="W115">
        <v>19</v>
      </c>
      <c r="X115">
        <v>3108.98</v>
      </c>
      <c r="Y115" s="7">
        <v>88921</v>
      </c>
    </row>
    <row r="116" spans="1:25" ht="12.75" customHeight="1">
      <c r="A116">
        <v>7158</v>
      </c>
      <c r="B116" t="s">
        <v>47</v>
      </c>
      <c r="C116" s="4">
        <v>0</v>
      </c>
      <c r="D116" s="8">
        <v>161.55000000000001</v>
      </c>
      <c r="E116" s="4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 s="5">
        <v>0.66</v>
      </c>
      <c r="O116" t="s">
        <v>33</v>
      </c>
      <c r="P116" t="s">
        <v>61</v>
      </c>
      <c r="Q116" t="s">
        <v>300</v>
      </c>
      <c r="R116" t="s">
        <v>301</v>
      </c>
      <c r="S116" s="7">
        <v>48138</v>
      </c>
      <c r="T116" s="3">
        <v>42096</v>
      </c>
      <c r="U116" s="3">
        <v>42098</v>
      </c>
      <c r="V116" s="4">
        <v>1014.9200000000001</v>
      </c>
      <c r="W116">
        <v>77</v>
      </c>
      <c r="X116">
        <v>12599.55</v>
      </c>
      <c r="Y116" s="7">
        <v>51072</v>
      </c>
    </row>
    <row r="117" spans="1:25" ht="12.75" customHeight="1">
      <c r="A117">
        <v>22136</v>
      </c>
      <c r="B117" t="s">
        <v>37</v>
      </c>
      <c r="C117" s="4">
        <v>0.09</v>
      </c>
      <c r="D117" s="8">
        <v>12.28</v>
      </c>
      <c r="E117" s="4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 s="5">
        <v>0.38</v>
      </c>
      <c r="O117" t="s">
        <v>33</v>
      </c>
      <c r="P117" t="s">
        <v>61</v>
      </c>
      <c r="Q117" t="s">
        <v>304</v>
      </c>
      <c r="R117" t="s">
        <v>305</v>
      </c>
      <c r="S117" s="7">
        <v>74006</v>
      </c>
      <c r="T117" s="3">
        <v>42121</v>
      </c>
      <c r="U117" s="3">
        <v>42122</v>
      </c>
      <c r="V117" s="4">
        <v>1.73</v>
      </c>
      <c r="W117">
        <v>3</v>
      </c>
      <c r="X117">
        <v>34.65</v>
      </c>
      <c r="Y117" s="7">
        <v>88971</v>
      </c>
    </row>
    <row r="118" spans="1:25" ht="12.75" customHeight="1">
      <c r="A118">
        <v>18783</v>
      </c>
      <c r="B118" t="s">
        <v>25</v>
      </c>
      <c r="C118" s="4">
        <v>0.03</v>
      </c>
      <c r="D118" s="8">
        <v>7.37</v>
      </c>
      <c r="E118" s="4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 s="5">
        <v>0.69</v>
      </c>
      <c r="O118" t="s">
        <v>33</v>
      </c>
      <c r="P118" t="s">
        <v>61</v>
      </c>
      <c r="Q118" t="s">
        <v>304</v>
      </c>
      <c r="R118" t="s">
        <v>305</v>
      </c>
      <c r="S118" s="7">
        <v>74006</v>
      </c>
      <c r="T118" s="3">
        <v>42020</v>
      </c>
      <c r="U118" s="3">
        <v>42022</v>
      </c>
      <c r="V118" s="4">
        <v>-133.69999999999999</v>
      </c>
      <c r="W118">
        <v>11</v>
      </c>
      <c r="X118">
        <v>85.79</v>
      </c>
      <c r="Y118" s="7">
        <v>88972</v>
      </c>
    </row>
    <row r="119" spans="1:25" ht="12.75" customHeight="1">
      <c r="A119">
        <v>21401</v>
      </c>
      <c r="B119" t="s">
        <v>106</v>
      </c>
      <c r="C119" s="4">
        <v>0.05</v>
      </c>
      <c r="D119" s="8">
        <v>1.86</v>
      </c>
      <c r="E119" s="4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 s="5">
        <v>0.82</v>
      </c>
      <c r="O119" t="s">
        <v>33</v>
      </c>
      <c r="P119" t="s">
        <v>53</v>
      </c>
      <c r="Q119" t="s">
        <v>71</v>
      </c>
      <c r="R119" t="s">
        <v>309</v>
      </c>
      <c r="S119" s="7">
        <v>12180</v>
      </c>
      <c r="T119" s="3">
        <v>42021</v>
      </c>
      <c r="U119" s="3">
        <v>42025</v>
      </c>
      <c r="V119" s="4">
        <v>-66.62</v>
      </c>
      <c r="W119">
        <v>9</v>
      </c>
      <c r="X119">
        <v>17.61</v>
      </c>
      <c r="Y119" s="7">
        <v>85965</v>
      </c>
    </row>
    <row r="120" spans="1:25" ht="12.75" customHeight="1">
      <c r="A120">
        <v>23097</v>
      </c>
      <c r="B120" t="s">
        <v>56</v>
      </c>
      <c r="C120" s="4">
        <v>0.09</v>
      </c>
      <c r="D120" s="8">
        <v>5.4</v>
      </c>
      <c r="E120" s="4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 s="5">
        <v>0.37</v>
      </c>
      <c r="O120" t="s">
        <v>33</v>
      </c>
      <c r="P120" t="s">
        <v>53</v>
      </c>
      <c r="Q120" t="s">
        <v>71</v>
      </c>
      <c r="R120" t="s">
        <v>309</v>
      </c>
      <c r="S120" s="7">
        <v>12180</v>
      </c>
      <c r="T120" s="3">
        <v>42157</v>
      </c>
      <c r="U120" s="3">
        <v>42157</v>
      </c>
      <c r="V120" s="4">
        <v>-21.487749999999998</v>
      </c>
      <c r="W120">
        <v>4</v>
      </c>
      <c r="X120">
        <v>27.3</v>
      </c>
      <c r="Y120" s="7">
        <v>85966</v>
      </c>
    </row>
    <row r="121" spans="1:25" ht="12.75" customHeight="1">
      <c r="A121">
        <v>23098</v>
      </c>
      <c r="B121" t="s">
        <v>56</v>
      </c>
      <c r="C121" s="4">
        <v>0.02</v>
      </c>
      <c r="D121" s="8">
        <v>20.28</v>
      </c>
      <c r="E121" s="4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 s="5">
        <v>0.53</v>
      </c>
      <c r="O121" t="s">
        <v>33</v>
      </c>
      <c r="P121" t="s">
        <v>53</v>
      </c>
      <c r="Q121" t="s">
        <v>71</v>
      </c>
      <c r="R121" t="s">
        <v>309</v>
      </c>
      <c r="S121" s="7">
        <v>12180</v>
      </c>
      <c r="T121" s="3">
        <v>42157</v>
      </c>
      <c r="U121" s="3">
        <v>42157</v>
      </c>
      <c r="V121" s="4">
        <v>44.677499999999995</v>
      </c>
      <c r="W121">
        <v>3</v>
      </c>
      <c r="X121">
        <v>64.75</v>
      </c>
      <c r="Y121" s="7">
        <v>85966</v>
      </c>
    </row>
    <row r="122" spans="1:25" ht="12.75" customHeight="1">
      <c r="A122">
        <v>23099</v>
      </c>
      <c r="B122" t="s">
        <v>56</v>
      </c>
      <c r="C122" s="4">
        <v>0</v>
      </c>
      <c r="D122" s="8">
        <v>11.55</v>
      </c>
      <c r="E122" s="4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 s="5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 s="7">
        <v>12180</v>
      </c>
      <c r="T122" s="3">
        <v>42157</v>
      </c>
      <c r="U122" s="3">
        <v>42158</v>
      </c>
      <c r="V122" s="4">
        <v>23.594999999999999</v>
      </c>
      <c r="W122">
        <v>5</v>
      </c>
      <c r="X122">
        <v>62.98</v>
      </c>
      <c r="Y122" s="7">
        <v>85966</v>
      </c>
    </row>
    <row r="123" spans="1:25" ht="12.75" customHeight="1">
      <c r="A123">
        <v>23605</v>
      </c>
      <c r="B123" t="s">
        <v>56</v>
      </c>
      <c r="C123" s="4">
        <v>0.01</v>
      </c>
      <c r="D123" s="8">
        <v>10.06</v>
      </c>
      <c r="E123" s="4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 s="5">
        <v>0.39</v>
      </c>
      <c r="O123" t="s">
        <v>33</v>
      </c>
      <c r="P123" t="s">
        <v>53</v>
      </c>
      <c r="Q123" t="s">
        <v>71</v>
      </c>
      <c r="R123" t="s">
        <v>314</v>
      </c>
      <c r="S123" s="7">
        <v>13501</v>
      </c>
      <c r="T123" s="3">
        <v>42010</v>
      </c>
      <c r="U123" s="3">
        <v>42012</v>
      </c>
      <c r="V123" s="4">
        <v>7.59</v>
      </c>
      <c r="W123">
        <v>2</v>
      </c>
      <c r="X123">
        <v>21.2</v>
      </c>
      <c r="Y123" s="7">
        <v>85964</v>
      </c>
    </row>
    <row r="124" spans="1:25" ht="12.75" customHeight="1">
      <c r="A124">
        <v>23606</v>
      </c>
      <c r="B124" t="s">
        <v>56</v>
      </c>
      <c r="C124" s="4">
        <v>0</v>
      </c>
      <c r="D124" s="8">
        <v>65.989999999999995</v>
      </c>
      <c r="E124" s="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 s="5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 s="7">
        <v>13501</v>
      </c>
      <c r="T124" s="3">
        <v>42010</v>
      </c>
      <c r="U124" s="3">
        <v>42012</v>
      </c>
      <c r="V124" s="4">
        <v>-107.98699999999999</v>
      </c>
      <c r="W124">
        <v>3</v>
      </c>
      <c r="X124">
        <v>173.32</v>
      </c>
      <c r="Y124" s="7">
        <v>85964</v>
      </c>
    </row>
    <row r="125" spans="1:25" ht="12.75" customHeight="1">
      <c r="A125">
        <v>23100</v>
      </c>
      <c r="B125" t="s">
        <v>56</v>
      </c>
      <c r="C125" s="4">
        <v>0.05</v>
      </c>
      <c r="D125" s="8">
        <v>2.08</v>
      </c>
      <c r="E125" s="4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 s="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 s="7">
        <v>13501</v>
      </c>
      <c r="T125" s="3">
        <v>42157</v>
      </c>
      <c r="U125" s="3">
        <v>42158</v>
      </c>
      <c r="V125" s="4">
        <v>-36.25</v>
      </c>
      <c r="W125">
        <v>20</v>
      </c>
      <c r="X125">
        <v>42.29</v>
      </c>
      <c r="Y125" s="7">
        <v>85966</v>
      </c>
    </row>
    <row r="126" spans="1:25" ht="12.75" customHeight="1">
      <c r="A126">
        <v>26303</v>
      </c>
      <c r="B126" t="s">
        <v>56</v>
      </c>
      <c r="C126" s="4">
        <v>0.05</v>
      </c>
      <c r="D126" s="8">
        <v>119.99</v>
      </c>
      <c r="E126" s="4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 s="5">
        <v>0.39</v>
      </c>
      <c r="O126" t="s">
        <v>33</v>
      </c>
      <c r="P126" t="s">
        <v>34</v>
      </c>
      <c r="Q126" t="s">
        <v>212</v>
      </c>
      <c r="R126" t="s">
        <v>319</v>
      </c>
      <c r="S126" s="7">
        <v>84107</v>
      </c>
      <c r="T126" s="3">
        <v>42164</v>
      </c>
      <c r="U126" s="3">
        <v>42166</v>
      </c>
      <c r="V126" s="4">
        <v>-102.5121</v>
      </c>
      <c r="W126">
        <v>6</v>
      </c>
      <c r="X126">
        <v>730.37</v>
      </c>
      <c r="Y126" s="7">
        <v>88048</v>
      </c>
    </row>
    <row r="127" spans="1:25" ht="12.75" customHeight="1">
      <c r="A127">
        <v>21203</v>
      </c>
      <c r="B127" t="s">
        <v>56</v>
      </c>
      <c r="C127" s="4">
        <v>0.03</v>
      </c>
      <c r="D127" s="8">
        <v>60.89</v>
      </c>
      <c r="E127" s="4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 s="5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 s="7">
        <v>28227</v>
      </c>
      <c r="T127" s="3">
        <v>42096</v>
      </c>
      <c r="U127" s="3">
        <v>42097</v>
      </c>
      <c r="V127" s="4">
        <v>36.353999999999999</v>
      </c>
      <c r="W127">
        <v>7</v>
      </c>
      <c r="X127">
        <v>450.49</v>
      </c>
      <c r="Y127" s="7">
        <v>88527</v>
      </c>
    </row>
    <row r="128" spans="1:25" ht="12.75" customHeight="1">
      <c r="A128">
        <v>25500</v>
      </c>
      <c r="B128" t="s">
        <v>56</v>
      </c>
      <c r="C128" s="4">
        <v>7.0000000000000007E-2</v>
      </c>
      <c r="D128" s="8">
        <v>5.81</v>
      </c>
      <c r="E128" s="4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 s="5">
        <v>0.39</v>
      </c>
      <c r="O128" t="s">
        <v>33</v>
      </c>
      <c r="P128" t="s">
        <v>61</v>
      </c>
      <c r="Q128" t="s">
        <v>178</v>
      </c>
      <c r="R128" t="s">
        <v>326</v>
      </c>
      <c r="S128" s="7">
        <v>60462</v>
      </c>
      <c r="T128" s="3">
        <v>42055</v>
      </c>
      <c r="U128" s="3">
        <v>42057</v>
      </c>
      <c r="V128" s="4">
        <v>-243.23649999999998</v>
      </c>
      <c r="W128">
        <v>10</v>
      </c>
      <c r="X128">
        <v>58.8</v>
      </c>
      <c r="Y128" s="7">
        <v>90237</v>
      </c>
    </row>
    <row r="129" spans="1:25" ht="12.75" customHeight="1">
      <c r="A129">
        <v>25501</v>
      </c>
      <c r="B129" t="s">
        <v>56</v>
      </c>
      <c r="C129" s="4">
        <v>0.04</v>
      </c>
      <c r="D129" s="8">
        <v>9.65</v>
      </c>
      <c r="E129" s="4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 s="5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 s="7">
        <v>60462</v>
      </c>
      <c r="T129" s="3">
        <v>42055</v>
      </c>
      <c r="U129" s="3">
        <v>42056</v>
      </c>
      <c r="V129" s="4">
        <v>-53.62</v>
      </c>
      <c r="W129">
        <v>12</v>
      </c>
      <c r="X129">
        <v>120.47</v>
      </c>
      <c r="Y129" s="7">
        <v>90237</v>
      </c>
    </row>
    <row r="130" spans="1:25" ht="12.75" customHeight="1">
      <c r="A130">
        <v>23058</v>
      </c>
      <c r="B130" t="s">
        <v>47</v>
      </c>
      <c r="C130" s="4">
        <v>0.06</v>
      </c>
      <c r="D130" s="8">
        <v>279.81</v>
      </c>
      <c r="E130" s="4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 s="5">
        <v>0.59</v>
      </c>
      <c r="O130" t="s">
        <v>33</v>
      </c>
      <c r="P130" t="s">
        <v>61</v>
      </c>
      <c r="Q130" t="s">
        <v>330</v>
      </c>
      <c r="R130" t="s">
        <v>331</v>
      </c>
      <c r="S130" s="7">
        <v>50208</v>
      </c>
      <c r="T130" s="3">
        <v>42040</v>
      </c>
      <c r="U130" s="3">
        <v>42041</v>
      </c>
      <c r="V130" s="4">
        <v>1103.9723999999999</v>
      </c>
      <c r="W130">
        <v>6</v>
      </c>
      <c r="X130">
        <v>1599.96</v>
      </c>
      <c r="Y130" s="7">
        <v>90236</v>
      </c>
    </row>
    <row r="131" spans="1:25" ht="12.75" customHeight="1">
      <c r="A131">
        <v>25121</v>
      </c>
      <c r="B131" t="s">
        <v>25</v>
      </c>
      <c r="C131" s="4">
        <v>0.03</v>
      </c>
      <c r="D131" s="8">
        <v>28.53</v>
      </c>
      <c r="E131" s="4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 s="5">
        <v>0.38</v>
      </c>
      <c r="O131" t="s">
        <v>33</v>
      </c>
      <c r="P131" t="s">
        <v>61</v>
      </c>
      <c r="Q131" t="s">
        <v>330</v>
      </c>
      <c r="R131" t="s">
        <v>331</v>
      </c>
      <c r="S131" s="7">
        <v>50208</v>
      </c>
      <c r="T131" s="3">
        <v>42090</v>
      </c>
      <c r="U131" s="3">
        <v>42092</v>
      </c>
      <c r="V131" s="4">
        <v>136.33709999999999</v>
      </c>
      <c r="W131">
        <v>7</v>
      </c>
      <c r="X131">
        <v>197.59</v>
      </c>
      <c r="Y131" s="7">
        <v>90238</v>
      </c>
    </row>
    <row r="132" spans="1:25" ht="12.75" customHeight="1">
      <c r="A132">
        <v>25122</v>
      </c>
      <c r="B132" t="s">
        <v>25</v>
      </c>
      <c r="C132" s="4">
        <v>0.01</v>
      </c>
      <c r="D132" s="8">
        <v>15.28</v>
      </c>
      <c r="E132" s="4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 s="5">
        <v>0.42</v>
      </c>
      <c r="O132" t="s">
        <v>33</v>
      </c>
      <c r="P132" t="s">
        <v>61</v>
      </c>
      <c r="Q132" t="s">
        <v>330</v>
      </c>
      <c r="R132" t="s">
        <v>331</v>
      </c>
      <c r="S132" s="7">
        <v>50208</v>
      </c>
      <c r="T132" s="3">
        <v>42090</v>
      </c>
      <c r="U132" s="3">
        <v>42092</v>
      </c>
      <c r="V132" s="4">
        <v>-12.46</v>
      </c>
      <c r="W132">
        <v>2</v>
      </c>
      <c r="X132">
        <v>33.04</v>
      </c>
      <c r="Y132" s="7">
        <v>90238</v>
      </c>
    </row>
    <row r="133" spans="1:25" ht="12.75" customHeight="1">
      <c r="A133">
        <v>22044</v>
      </c>
      <c r="B133" t="s">
        <v>106</v>
      </c>
      <c r="C133" s="4">
        <v>0.06</v>
      </c>
      <c r="D133" s="8">
        <v>3.34</v>
      </c>
      <c r="E133" s="4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 s="5">
        <v>0.54</v>
      </c>
      <c r="O133" t="s">
        <v>33</v>
      </c>
      <c r="P133" t="s">
        <v>61</v>
      </c>
      <c r="Q133" t="s">
        <v>330</v>
      </c>
      <c r="R133" t="s">
        <v>331</v>
      </c>
      <c r="S133" s="7">
        <v>50208</v>
      </c>
      <c r="T133" s="3">
        <v>42122</v>
      </c>
      <c r="U133" s="3">
        <v>42124</v>
      </c>
      <c r="V133" s="4">
        <v>-175.86</v>
      </c>
      <c r="W133">
        <v>8</v>
      </c>
      <c r="X133">
        <v>27.45</v>
      </c>
      <c r="Y133" s="7">
        <v>90239</v>
      </c>
    </row>
    <row r="134" spans="1:25" ht="12.75" customHeight="1">
      <c r="A134">
        <v>18885</v>
      </c>
      <c r="B134" t="s">
        <v>37</v>
      </c>
      <c r="C134" s="4">
        <v>0</v>
      </c>
      <c r="D134" s="8">
        <v>442.14</v>
      </c>
      <c r="E134" s="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 s="5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 s="7">
        <v>80027</v>
      </c>
      <c r="T134" s="3">
        <v>42057</v>
      </c>
      <c r="U134" s="3">
        <v>42057</v>
      </c>
      <c r="V134" s="4">
        <v>3294.8258999999994</v>
      </c>
      <c r="W134">
        <v>10</v>
      </c>
      <c r="X134">
        <v>4775.1099999999997</v>
      </c>
      <c r="Y134" s="7">
        <v>86621</v>
      </c>
    </row>
    <row r="135" spans="1:25" ht="12.75" customHeight="1">
      <c r="A135">
        <v>24327</v>
      </c>
      <c r="B135" t="s">
        <v>56</v>
      </c>
      <c r="C135" s="4">
        <v>0.1</v>
      </c>
      <c r="D135" s="8">
        <v>19.98</v>
      </c>
      <c r="E135" s="4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 s="5">
        <v>0.38</v>
      </c>
      <c r="O135" t="s">
        <v>33</v>
      </c>
      <c r="P135" t="s">
        <v>34</v>
      </c>
      <c r="Q135" t="s">
        <v>255</v>
      </c>
      <c r="R135" t="s">
        <v>340</v>
      </c>
      <c r="S135" s="7">
        <v>80817</v>
      </c>
      <c r="T135" s="3">
        <v>42114</v>
      </c>
      <c r="U135" s="3">
        <v>42114</v>
      </c>
      <c r="V135" s="4">
        <v>35.090000000000003</v>
      </c>
      <c r="W135">
        <v>3</v>
      </c>
      <c r="X135">
        <v>57.41</v>
      </c>
      <c r="Y135" s="7">
        <v>90479</v>
      </c>
    </row>
    <row r="136" spans="1:25" ht="12.75" customHeight="1">
      <c r="A136">
        <v>24328</v>
      </c>
      <c r="B136" t="s">
        <v>56</v>
      </c>
      <c r="C136" s="4">
        <v>0.06</v>
      </c>
      <c r="D136" s="8">
        <v>259.70999999999998</v>
      </c>
      <c r="E136" s="4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 s="5">
        <v>0.61</v>
      </c>
      <c r="O136" t="s">
        <v>33</v>
      </c>
      <c r="P136" t="s">
        <v>34</v>
      </c>
      <c r="Q136" t="s">
        <v>255</v>
      </c>
      <c r="R136" t="s">
        <v>343</v>
      </c>
      <c r="S136" s="7">
        <v>81503</v>
      </c>
      <c r="T136" s="3">
        <v>42114</v>
      </c>
      <c r="U136" s="3">
        <v>42115</v>
      </c>
      <c r="V136" s="4">
        <v>785.63</v>
      </c>
      <c r="W136">
        <v>11</v>
      </c>
      <c r="X136">
        <v>2809.87</v>
      </c>
      <c r="Y136" s="7">
        <v>90479</v>
      </c>
    </row>
    <row r="137" spans="1:25" ht="12.75" customHeight="1">
      <c r="A137">
        <v>25264</v>
      </c>
      <c r="B137" t="s">
        <v>106</v>
      </c>
      <c r="C137" s="4">
        <v>0.01</v>
      </c>
      <c r="D137" s="8">
        <v>5.94</v>
      </c>
      <c r="E137" s="4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 s="5">
        <v>0.38</v>
      </c>
      <c r="O137" t="s">
        <v>33</v>
      </c>
      <c r="P137" t="s">
        <v>34</v>
      </c>
      <c r="Q137" t="s">
        <v>255</v>
      </c>
      <c r="R137" t="s">
        <v>343</v>
      </c>
      <c r="S137" s="7">
        <v>81503</v>
      </c>
      <c r="T137" s="3">
        <v>42150</v>
      </c>
      <c r="U137" s="3">
        <v>42157</v>
      </c>
      <c r="V137" s="4">
        <v>-256.51900000000001</v>
      </c>
      <c r="W137">
        <v>13</v>
      </c>
      <c r="X137">
        <v>79.930000000000007</v>
      </c>
      <c r="Y137" s="7">
        <v>90480</v>
      </c>
    </row>
    <row r="138" spans="1:25" ht="12.75" customHeight="1">
      <c r="A138">
        <v>25265</v>
      </c>
      <c r="B138" t="s">
        <v>106</v>
      </c>
      <c r="C138" s="4">
        <v>0.02</v>
      </c>
      <c r="D138" s="8">
        <v>125.99</v>
      </c>
      <c r="E138" s="4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 s="5">
        <v>0.59</v>
      </c>
      <c r="O138" t="s">
        <v>33</v>
      </c>
      <c r="P138" t="s">
        <v>34</v>
      </c>
      <c r="Q138" t="s">
        <v>255</v>
      </c>
      <c r="R138" t="s">
        <v>343</v>
      </c>
      <c r="S138" s="7">
        <v>81503</v>
      </c>
      <c r="T138" s="3">
        <v>42150</v>
      </c>
      <c r="U138" s="3">
        <v>42150</v>
      </c>
      <c r="V138" s="4">
        <v>398.358</v>
      </c>
      <c r="W138">
        <v>8</v>
      </c>
      <c r="X138">
        <v>873.18</v>
      </c>
      <c r="Y138" s="7">
        <v>90480</v>
      </c>
    </row>
    <row r="139" spans="1:25" ht="12.75" customHeight="1">
      <c r="A139">
        <v>18849</v>
      </c>
      <c r="B139" t="s">
        <v>56</v>
      </c>
      <c r="C139" s="4">
        <v>0.02</v>
      </c>
      <c r="D139" s="8">
        <v>146.05000000000001</v>
      </c>
      <c r="E139" s="4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 s="5">
        <v>0.71</v>
      </c>
      <c r="O139" t="s">
        <v>33</v>
      </c>
      <c r="P139" t="s">
        <v>136</v>
      </c>
      <c r="Q139" t="s">
        <v>244</v>
      </c>
      <c r="R139" t="s">
        <v>348</v>
      </c>
      <c r="S139" s="7">
        <v>37804</v>
      </c>
      <c r="T139" s="3">
        <v>42058</v>
      </c>
      <c r="U139" s="3">
        <v>42058</v>
      </c>
      <c r="V139" s="4">
        <v>-101.19200000000001</v>
      </c>
      <c r="W139">
        <v>5</v>
      </c>
      <c r="X139">
        <v>798.69</v>
      </c>
      <c r="Y139" s="7">
        <v>89139</v>
      </c>
    </row>
    <row r="140" spans="1:25" ht="12.75" customHeight="1">
      <c r="A140">
        <v>18850</v>
      </c>
      <c r="B140" t="s">
        <v>56</v>
      </c>
      <c r="C140" s="4">
        <v>0.06</v>
      </c>
      <c r="D140" s="8">
        <v>65.989999999999995</v>
      </c>
      <c r="E140" s="4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 s="5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 s="7">
        <v>37804</v>
      </c>
      <c r="T140" s="3">
        <v>42058</v>
      </c>
      <c r="U140" s="3">
        <v>42059</v>
      </c>
      <c r="V140" s="4">
        <v>-3.3320000000000336</v>
      </c>
      <c r="W140">
        <v>14</v>
      </c>
      <c r="X140">
        <v>792.11</v>
      </c>
      <c r="Y140" s="7">
        <v>89139</v>
      </c>
    </row>
    <row r="141" spans="1:25" ht="12.75" customHeight="1">
      <c r="A141">
        <v>18842</v>
      </c>
      <c r="B141" t="s">
        <v>56</v>
      </c>
      <c r="C141" s="4">
        <v>0.09</v>
      </c>
      <c r="D141" s="8">
        <v>2.88</v>
      </c>
      <c r="E141" s="4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 s="5">
        <v>0.36</v>
      </c>
      <c r="O141" t="s">
        <v>33</v>
      </c>
      <c r="P141" t="s">
        <v>136</v>
      </c>
      <c r="Q141" t="s">
        <v>244</v>
      </c>
      <c r="R141" t="s">
        <v>348</v>
      </c>
      <c r="S141" s="7">
        <v>37804</v>
      </c>
      <c r="T141" s="3">
        <v>42084</v>
      </c>
      <c r="U141" s="3">
        <v>42086</v>
      </c>
      <c r="V141" s="4">
        <v>-145.08199999999999</v>
      </c>
      <c r="W141">
        <v>10</v>
      </c>
      <c r="X141">
        <v>28.73</v>
      </c>
      <c r="Y141" s="7">
        <v>89140</v>
      </c>
    </row>
    <row r="142" spans="1:25" ht="12.75" customHeight="1">
      <c r="A142">
        <v>18773</v>
      </c>
      <c r="B142" t="s">
        <v>47</v>
      </c>
      <c r="C142" s="4">
        <v>0.02</v>
      </c>
      <c r="D142" s="8">
        <v>2.58</v>
      </c>
      <c r="E142" s="4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 s="5">
        <v>0.59</v>
      </c>
      <c r="O142" t="s">
        <v>33</v>
      </c>
      <c r="P142" t="s">
        <v>61</v>
      </c>
      <c r="Q142" t="s">
        <v>62</v>
      </c>
      <c r="R142" t="s">
        <v>352</v>
      </c>
      <c r="S142" s="7">
        <v>55423</v>
      </c>
      <c r="T142" s="3">
        <v>42152</v>
      </c>
      <c r="U142" s="3">
        <v>42153</v>
      </c>
      <c r="V142" s="4">
        <v>1.1080000000000014</v>
      </c>
      <c r="W142">
        <v>39</v>
      </c>
      <c r="X142">
        <v>109.74</v>
      </c>
      <c r="Y142" s="7">
        <v>87214</v>
      </c>
    </row>
    <row r="143" spans="1:25" ht="12.75" customHeight="1">
      <c r="A143">
        <v>18774</v>
      </c>
      <c r="B143" t="s">
        <v>47</v>
      </c>
      <c r="C143" s="4">
        <v>0.02</v>
      </c>
      <c r="D143" s="8">
        <v>65.989999999999995</v>
      </c>
      <c r="E143" s="4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 s="5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 s="7">
        <v>55423</v>
      </c>
      <c r="T143" s="3">
        <v>42152</v>
      </c>
      <c r="U143" s="3">
        <v>42153</v>
      </c>
      <c r="V143" s="4">
        <v>1061.3790000000001</v>
      </c>
      <c r="W143">
        <v>27</v>
      </c>
      <c r="X143">
        <v>1543.55</v>
      </c>
      <c r="Y143" s="7">
        <v>87214</v>
      </c>
    </row>
    <row r="144" spans="1:25" ht="12.75" customHeight="1">
      <c r="A144">
        <v>18801</v>
      </c>
      <c r="B144" t="s">
        <v>56</v>
      </c>
      <c r="C144" s="4">
        <v>0.1</v>
      </c>
      <c r="D144" s="8">
        <v>280.98</v>
      </c>
      <c r="E144" s="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 s="5">
        <v>0.66</v>
      </c>
      <c r="O144" t="s">
        <v>33</v>
      </c>
      <c r="P144" t="s">
        <v>34</v>
      </c>
      <c r="Q144" t="s">
        <v>255</v>
      </c>
      <c r="R144" t="s">
        <v>356</v>
      </c>
      <c r="S144" s="7">
        <v>80126</v>
      </c>
      <c r="T144" s="3">
        <v>42165</v>
      </c>
      <c r="U144" s="3">
        <v>42166</v>
      </c>
      <c r="V144" s="4">
        <v>-53.744999999999997</v>
      </c>
      <c r="W144">
        <v>5</v>
      </c>
      <c r="X144">
        <v>1332.82</v>
      </c>
      <c r="Y144" s="7">
        <v>86268</v>
      </c>
    </row>
    <row r="145" spans="1:25" ht="12.75" customHeight="1">
      <c r="A145">
        <v>20577</v>
      </c>
      <c r="B145" t="s">
        <v>47</v>
      </c>
      <c r="C145" s="4">
        <v>0.03</v>
      </c>
      <c r="D145" s="8">
        <v>8.34</v>
      </c>
      <c r="E145" s="4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 s="5">
        <v>0.59</v>
      </c>
      <c r="O145" t="s">
        <v>33</v>
      </c>
      <c r="P145" t="s">
        <v>53</v>
      </c>
      <c r="Q145" t="s">
        <v>234</v>
      </c>
      <c r="R145" t="s">
        <v>359</v>
      </c>
      <c r="S145" s="7">
        <v>17331</v>
      </c>
      <c r="T145" s="3">
        <v>42035</v>
      </c>
      <c r="U145" s="3">
        <v>42037</v>
      </c>
      <c r="V145" s="4">
        <v>0.68399999999999894</v>
      </c>
      <c r="W145">
        <v>4</v>
      </c>
      <c r="X145">
        <v>34.64</v>
      </c>
      <c r="Y145" s="7">
        <v>86267</v>
      </c>
    </row>
    <row r="146" spans="1:25" ht="12.75" customHeight="1">
      <c r="A146">
        <v>24498</v>
      </c>
      <c r="B146" t="s">
        <v>56</v>
      </c>
      <c r="C146" s="4">
        <v>0.05</v>
      </c>
      <c r="D146" s="8">
        <v>17.48</v>
      </c>
      <c r="E146" s="4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 s="5">
        <v>0.45</v>
      </c>
      <c r="O146" t="s">
        <v>33</v>
      </c>
      <c r="P146" t="s">
        <v>136</v>
      </c>
      <c r="Q146" t="s">
        <v>362</v>
      </c>
      <c r="R146" t="s">
        <v>363</v>
      </c>
      <c r="S146" s="7">
        <v>33772</v>
      </c>
      <c r="T146" s="3">
        <v>42006</v>
      </c>
      <c r="U146" s="3">
        <v>42008</v>
      </c>
      <c r="V146" s="4">
        <v>-127.00800000000001</v>
      </c>
      <c r="W146">
        <v>3</v>
      </c>
      <c r="X146">
        <v>52.47</v>
      </c>
      <c r="Y146" s="7">
        <v>85858</v>
      </c>
    </row>
    <row r="147" spans="1:25" ht="12.75" customHeight="1">
      <c r="A147">
        <v>18011</v>
      </c>
      <c r="B147" t="s">
        <v>106</v>
      </c>
      <c r="C147" s="4">
        <v>0.09</v>
      </c>
      <c r="D147" s="8">
        <v>2.88</v>
      </c>
      <c r="E147" s="4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 s="5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 s="7">
        <v>87505</v>
      </c>
      <c r="T147" s="3">
        <v>42023</v>
      </c>
      <c r="U147" s="3">
        <v>42023</v>
      </c>
      <c r="V147" s="4">
        <v>5.7532000000000005</v>
      </c>
      <c r="W147">
        <v>10</v>
      </c>
      <c r="X147">
        <v>26.38</v>
      </c>
      <c r="Y147" s="7">
        <v>85857</v>
      </c>
    </row>
    <row r="148" spans="1:25" ht="12.75" customHeight="1">
      <c r="A148">
        <v>22370</v>
      </c>
      <c r="B148" t="s">
        <v>25</v>
      </c>
      <c r="C148" s="4">
        <v>0.05</v>
      </c>
      <c r="D148" s="8">
        <v>31.76</v>
      </c>
      <c r="E148" s="4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 s="5">
        <v>0.65</v>
      </c>
      <c r="O148" t="s">
        <v>33</v>
      </c>
      <c r="P148" t="s">
        <v>53</v>
      </c>
      <c r="Q148" t="s">
        <v>154</v>
      </c>
      <c r="R148" t="s">
        <v>370</v>
      </c>
      <c r="S148" s="7">
        <v>44106</v>
      </c>
      <c r="T148" s="3">
        <v>42025</v>
      </c>
      <c r="U148" s="3">
        <v>42027</v>
      </c>
      <c r="V148" s="4">
        <v>-2177.9860960000001</v>
      </c>
      <c r="W148">
        <v>9</v>
      </c>
      <c r="X148">
        <v>304.33999999999997</v>
      </c>
      <c r="Y148" s="7">
        <v>86297</v>
      </c>
    </row>
    <row r="149" spans="1:25" ht="12.75" customHeight="1">
      <c r="A149">
        <v>20858</v>
      </c>
      <c r="B149" t="s">
        <v>37</v>
      </c>
      <c r="C149" s="4">
        <v>0</v>
      </c>
      <c r="D149" s="8">
        <v>73.98</v>
      </c>
      <c r="E149" s="4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 s="5">
        <v>0.67</v>
      </c>
      <c r="O149" t="s">
        <v>33</v>
      </c>
      <c r="P149" t="s">
        <v>61</v>
      </c>
      <c r="Q149" t="s">
        <v>130</v>
      </c>
      <c r="R149" t="s">
        <v>373</v>
      </c>
      <c r="S149" s="7">
        <v>78207</v>
      </c>
      <c r="T149" s="3">
        <v>42142</v>
      </c>
      <c r="U149" s="3">
        <v>42144</v>
      </c>
      <c r="V149" s="4">
        <v>326.25</v>
      </c>
      <c r="W149">
        <v>17</v>
      </c>
      <c r="X149">
        <v>1300.81</v>
      </c>
      <c r="Y149" s="7">
        <v>90593</v>
      </c>
    </row>
    <row r="150" spans="1:25" ht="12.75" customHeight="1">
      <c r="A150">
        <v>19823</v>
      </c>
      <c r="B150" t="s">
        <v>56</v>
      </c>
      <c r="C150" s="4">
        <v>0.08</v>
      </c>
      <c r="D150" s="8">
        <v>6.48</v>
      </c>
      <c r="E150" s="4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 s="5">
        <v>0.37</v>
      </c>
      <c r="O150" t="s">
        <v>33</v>
      </c>
      <c r="P150" t="s">
        <v>61</v>
      </c>
      <c r="Q150" t="s">
        <v>130</v>
      </c>
      <c r="R150" t="s">
        <v>373</v>
      </c>
      <c r="S150" s="7">
        <v>78207</v>
      </c>
      <c r="T150" s="3">
        <v>42139</v>
      </c>
      <c r="U150" s="3">
        <v>42140</v>
      </c>
      <c r="V150" s="4">
        <v>8.9320000000000093</v>
      </c>
      <c r="W150">
        <v>10</v>
      </c>
      <c r="X150">
        <v>67.86</v>
      </c>
      <c r="Y150" s="7">
        <v>90594</v>
      </c>
    </row>
    <row r="151" spans="1:25" ht="12.75" customHeight="1">
      <c r="A151">
        <v>19824</v>
      </c>
      <c r="B151" t="s">
        <v>56</v>
      </c>
      <c r="C151" s="4">
        <v>0.01</v>
      </c>
      <c r="D151" s="8">
        <v>20.34</v>
      </c>
      <c r="E151" s="4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 s="5">
        <v>0.84</v>
      </c>
      <c r="O151" t="s">
        <v>33</v>
      </c>
      <c r="P151" t="s">
        <v>61</v>
      </c>
      <c r="Q151" t="s">
        <v>130</v>
      </c>
      <c r="R151" t="s">
        <v>373</v>
      </c>
      <c r="S151" s="7">
        <v>78207</v>
      </c>
      <c r="T151" s="3">
        <v>42139</v>
      </c>
      <c r="U151" s="3">
        <v>42140</v>
      </c>
      <c r="V151" s="4">
        <v>229.63800000000015</v>
      </c>
      <c r="W151">
        <v>33</v>
      </c>
      <c r="X151">
        <v>747.28</v>
      </c>
      <c r="Y151" s="7">
        <v>90594</v>
      </c>
    </row>
    <row r="152" spans="1:25">
      <c r="A152">
        <v>18770</v>
      </c>
      <c r="B152" t="s">
        <v>106</v>
      </c>
      <c r="C152" s="4">
        <v>0.02</v>
      </c>
      <c r="D152" s="8">
        <v>5.58</v>
      </c>
      <c r="E152" s="4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 s="5">
        <v>0.35</v>
      </c>
      <c r="O152" t="s">
        <v>33</v>
      </c>
      <c r="P152" t="s">
        <v>34</v>
      </c>
      <c r="Q152" t="s">
        <v>378</v>
      </c>
      <c r="R152" t="s">
        <v>379</v>
      </c>
      <c r="S152" s="7">
        <v>86001</v>
      </c>
      <c r="T152" s="3">
        <v>42101</v>
      </c>
      <c r="U152" s="3">
        <v>42106</v>
      </c>
      <c r="V152" s="4">
        <v>-22.48</v>
      </c>
      <c r="W152">
        <v>3</v>
      </c>
      <c r="X152">
        <v>18.670000000000002</v>
      </c>
      <c r="Y152" s="7">
        <v>88941</v>
      </c>
    </row>
    <row r="153" spans="1:25">
      <c r="A153">
        <v>18771</v>
      </c>
      <c r="B153" t="s">
        <v>106</v>
      </c>
      <c r="C153" s="4">
        <v>0.03</v>
      </c>
      <c r="D153" s="8">
        <v>40.89</v>
      </c>
      <c r="E153" s="4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 s="5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 s="7">
        <v>86001</v>
      </c>
      <c r="T153" s="3">
        <v>42101</v>
      </c>
      <c r="U153" s="3">
        <v>42108</v>
      </c>
      <c r="V153" s="4">
        <v>78.98</v>
      </c>
      <c r="W153">
        <v>5</v>
      </c>
      <c r="X153">
        <v>210.77</v>
      </c>
      <c r="Y153" s="7">
        <v>88941</v>
      </c>
    </row>
    <row r="154" spans="1:25">
      <c r="A154">
        <v>23059</v>
      </c>
      <c r="B154" t="s">
        <v>106</v>
      </c>
      <c r="C154" s="4">
        <v>0.09</v>
      </c>
      <c r="D154" s="8">
        <v>35.94</v>
      </c>
      <c r="E154" s="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 s="5">
        <v>0.4</v>
      </c>
      <c r="O154" t="s">
        <v>33</v>
      </c>
      <c r="P154" t="s">
        <v>34</v>
      </c>
      <c r="Q154" t="s">
        <v>378</v>
      </c>
      <c r="R154" t="s">
        <v>382</v>
      </c>
      <c r="S154" s="7">
        <v>85234</v>
      </c>
      <c r="T154" s="3">
        <v>42160</v>
      </c>
      <c r="U154" s="3">
        <v>42165</v>
      </c>
      <c r="V154" s="4">
        <v>144.2928</v>
      </c>
      <c r="W154">
        <v>6</v>
      </c>
      <c r="X154">
        <v>209.12</v>
      </c>
      <c r="Y154" s="7">
        <v>88942</v>
      </c>
    </row>
    <row r="155" spans="1:25">
      <c r="A155">
        <v>23060</v>
      </c>
      <c r="B155" t="s">
        <v>106</v>
      </c>
      <c r="C155" s="4">
        <v>0</v>
      </c>
      <c r="D155" s="8">
        <v>170.98</v>
      </c>
      <c r="E155" s="4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 s="5">
        <v>0.75</v>
      </c>
      <c r="O155" t="s">
        <v>33</v>
      </c>
      <c r="P155" t="s">
        <v>34</v>
      </c>
      <c r="Q155" t="s">
        <v>378</v>
      </c>
      <c r="R155" t="s">
        <v>382</v>
      </c>
      <c r="S155" s="7">
        <v>85234</v>
      </c>
      <c r="T155" s="3">
        <v>42160</v>
      </c>
      <c r="U155" s="3">
        <v>42167</v>
      </c>
      <c r="V155" s="4">
        <v>888.14729999999997</v>
      </c>
      <c r="W155">
        <v>7</v>
      </c>
      <c r="X155">
        <v>1287.17</v>
      </c>
      <c r="Y155" s="7">
        <v>88942</v>
      </c>
    </row>
    <row r="156" spans="1:25">
      <c r="A156">
        <v>23061</v>
      </c>
      <c r="B156" t="s">
        <v>106</v>
      </c>
      <c r="C156" s="4">
        <v>0.09</v>
      </c>
      <c r="D156" s="8">
        <v>4.9800000000000004</v>
      </c>
      <c r="E156" s="4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 s="5">
        <v>0.36</v>
      </c>
      <c r="O156" t="s">
        <v>33</v>
      </c>
      <c r="P156" t="s">
        <v>34</v>
      </c>
      <c r="Q156" t="s">
        <v>378</v>
      </c>
      <c r="R156" t="s">
        <v>382</v>
      </c>
      <c r="S156" s="7">
        <v>85234</v>
      </c>
      <c r="T156" s="3">
        <v>42160</v>
      </c>
      <c r="U156" s="3">
        <v>42162</v>
      </c>
      <c r="V156" s="4">
        <v>-46.005000000000003</v>
      </c>
      <c r="W156">
        <v>9</v>
      </c>
      <c r="X156">
        <v>46.17</v>
      </c>
      <c r="Y156" s="7">
        <v>88942</v>
      </c>
    </row>
    <row r="157" spans="1:25" ht="12.75" customHeight="1">
      <c r="A157">
        <v>19515</v>
      </c>
      <c r="B157" t="s">
        <v>56</v>
      </c>
      <c r="C157" s="4">
        <v>0.1</v>
      </c>
      <c r="D157" s="8">
        <v>80.97</v>
      </c>
      <c r="E157" s="4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 s="5">
        <v>0.4</v>
      </c>
      <c r="O157" t="s">
        <v>33</v>
      </c>
      <c r="P157" t="s">
        <v>136</v>
      </c>
      <c r="Q157" t="s">
        <v>387</v>
      </c>
      <c r="R157" t="s">
        <v>388</v>
      </c>
      <c r="S157" s="7">
        <v>30297</v>
      </c>
      <c r="T157" s="3">
        <v>42093</v>
      </c>
      <c r="U157" s="3">
        <v>42094</v>
      </c>
      <c r="V157" s="4">
        <v>128.02529999999999</v>
      </c>
      <c r="W157">
        <v>12</v>
      </c>
      <c r="X157">
        <v>899.81</v>
      </c>
      <c r="Y157" s="7">
        <v>88940</v>
      </c>
    </row>
    <row r="158" spans="1:25" ht="12.75" customHeight="1">
      <c r="A158">
        <v>770</v>
      </c>
      <c r="B158" t="s">
        <v>106</v>
      </c>
      <c r="C158" s="4">
        <v>0.02</v>
      </c>
      <c r="D158" s="8">
        <v>5.58</v>
      </c>
      <c r="E158" s="4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 s="5">
        <v>0.35</v>
      </c>
      <c r="O158" t="s">
        <v>33</v>
      </c>
      <c r="P158" t="s">
        <v>136</v>
      </c>
      <c r="Q158" t="s">
        <v>322</v>
      </c>
      <c r="R158" t="s">
        <v>390</v>
      </c>
      <c r="S158" s="7">
        <v>28204</v>
      </c>
      <c r="T158" s="3">
        <v>42101</v>
      </c>
      <c r="U158" s="3">
        <v>42106</v>
      </c>
      <c r="V158" s="4">
        <v>-29.898400000000002</v>
      </c>
      <c r="W158">
        <v>11</v>
      </c>
      <c r="X158">
        <v>68.459999999999994</v>
      </c>
      <c r="Y158" s="7">
        <v>5509</v>
      </c>
    </row>
    <row r="159" spans="1:25" ht="12.75" customHeight="1">
      <c r="A159">
        <v>771</v>
      </c>
      <c r="B159" t="s">
        <v>106</v>
      </c>
      <c r="C159" s="4">
        <v>0.03</v>
      </c>
      <c r="D159" s="8">
        <v>40.89</v>
      </c>
      <c r="E159" s="4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 s="5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 s="7">
        <v>28204</v>
      </c>
      <c r="T159" s="3">
        <v>42101</v>
      </c>
      <c r="U159" s="3">
        <v>42108</v>
      </c>
      <c r="V159" s="4">
        <v>52.916600000000003</v>
      </c>
      <c r="W159">
        <v>21</v>
      </c>
      <c r="X159">
        <v>885.23</v>
      </c>
      <c r="Y159" s="7">
        <v>5509</v>
      </c>
    </row>
    <row r="160" spans="1:25" ht="12.75" customHeight="1">
      <c r="A160">
        <v>5059</v>
      </c>
      <c r="B160" t="s">
        <v>106</v>
      </c>
      <c r="C160" s="4">
        <v>0.09</v>
      </c>
      <c r="D160" s="8">
        <v>35.94</v>
      </c>
      <c r="E160" s="4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 s="5">
        <v>0.4</v>
      </c>
      <c r="O160" t="s">
        <v>33</v>
      </c>
      <c r="P160" t="s">
        <v>136</v>
      </c>
      <c r="Q160" t="s">
        <v>322</v>
      </c>
      <c r="R160" t="s">
        <v>390</v>
      </c>
      <c r="S160" s="7">
        <v>28204</v>
      </c>
      <c r="T160" s="3">
        <v>42160</v>
      </c>
      <c r="U160" s="3">
        <v>42165</v>
      </c>
      <c r="V160" s="4">
        <v>72.1858</v>
      </c>
      <c r="W160">
        <v>24</v>
      </c>
      <c r="X160">
        <v>836.47</v>
      </c>
      <c r="Y160" s="7">
        <v>36069</v>
      </c>
    </row>
    <row r="161" spans="1:25" ht="12.75" customHeight="1">
      <c r="A161">
        <v>5061</v>
      </c>
      <c r="B161" t="s">
        <v>106</v>
      </c>
      <c r="C161" s="4">
        <v>0.09</v>
      </c>
      <c r="D161" s="8">
        <v>4.9800000000000004</v>
      </c>
      <c r="E161" s="4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 s="5">
        <v>0.36</v>
      </c>
      <c r="O161" t="s">
        <v>33</v>
      </c>
      <c r="P161" t="s">
        <v>136</v>
      </c>
      <c r="Q161" t="s">
        <v>322</v>
      </c>
      <c r="R161" t="s">
        <v>390</v>
      </c>
      <c r="S161" s="7">
        <v>28204</v>
      </c>
      <c r="T161" s="3">
        <v>42160</v>
      </c>
      <c r="U161" s="3">
        <v>42162</v>
      </c>
      <c r="V161" s="4">
        <v>-122.3733</v>
      </c>
      <c r="W161">
        <v>37</v>
      </c>
      <c r="X161">
        <v>189.83</v>
      </c>
      <c r="Y161" s="7">
        <v>36069</v>
      </c>
    </row>
    <row r="162" spans="1:25" ht="12.75" customHeight="1">
      <c r="A162">
        <v>22180</v>
      </c>
      <c r="B162" t="s">
        <v>37</v>
      </c>
      <c r="C162" s="4">
        <v>0.09</v>
      </c>
      <c r="D162" s="8">
        <v>15.28</v>
      </c>
      <c r="E162" s="4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 s="5">
        <v>0.36</v>
      </c>
      <c r="O162" t="s">
        <v>33</v>
      </c>
      <c r="P162" t="s">
        <v>53</v>
      </c>
      <c r="Q162" t="s">
        <v>228</v>
      </c>
      <c r="R162" t="s">
        <v>393</v>
      </c>
      <c r="S162" s="7">
        <v>6824</v>
      </c>
      <c r="T162" s="3">
        <v>42028</v>
      </c>
      <c r="U162" s="3">
        <v>42029</v>
      </c>
      <c r="V162" s="4">
        <v>-51.75</v>
      </c>
      <c r="W162">
        <v>4</v>
      </c>
      <c r="X162">
        <v>61.52</v>
      </c>
      <c r="Y162" s="7">
        <v>89292</v>
      </c>
    </row>
    <row r="163" spans="1:25" ht="12.75" customHeight="1">
      <c r="A163">
        <v>23504</v>
      </c>
      <c r="B163" t="s">
        <v>47</v>
      </c>
      <c r="C163" s="4">
        <v>0.04</v>
      </c>
      <c r="D163" s="8">
        <v>1.98</v>
      </c>
      <c r="E163" s="4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 s="5">
        <v>0.83</v>
      </c>
      <c r="O163" t="s">
        <v>33</v>
      </c>
      <c r="P163" t="s">
        <v>53</v>
      </c>
      <c r="Q163" t="s">
        <v>228</v>
      </c>
      <c r="R163" t="s">
        <v>396</v>
      </c>
      <c r="S163" s="7">
        <v>6111</v>
      </c>
      <c r="T163" s="3">
        <v>42145</v>
      </c>
      <c r="U163" s="3">
        <v>42146</v>
      </c>
      <c r="V163" s="4">
        <v>-1</v>
      </c>
      <c r="W163">
        <v>3</v>
      </c>
      <c r="X163">
        <v>8.3000000000000007</v>
      </c>
      <c r="Y163" s="7">
        <v>89291</v>
      </c>
    </row>
    <row r="164" spans="1:25" ht="12.75" customHeight="1">
      <c r="A164">
        <v>23503</v>
      </c>
      <c r="B164" t="s">
        <v>47</v>
      </c>
      <c r="C164" s="4">
        <v>0.03</v>
      </c>
      <c r="D164" s="8">
        <v>55.99</v>
      </c>
      <c r="E164" s="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 s="5">
        <v>0.83</v>
      </c>
      <c r="O164" t="s">
        <v>33</v>
      </c>
      <c r="P164" t="s">
        <v>53</v>
      </c>
      <c r="Q164" t="s">
        <v>54</v>
      </c>
      <c r="R164" t="s">
        <v>399</v>
      </c>
      <c r="S164" s="7">
        <v>7109</v>
      </c>
      <c r="T164" s="3">
        <v>42145</v>
      </c>
      <c r="U164" s="3">
        <v>42146</v>
      </c>
      <c r="V164" s="4">
        <v>-221.25399999999999</v>
      </c>
      <c r="W164">
        <v>9</v>
      </c>
      <c r="X164">
        <v>416.95</v>
      </c>
      <c r="Y164" s="7">
        <v>89291</v>
      </c>
    </row>
    <row r="165" spans="1:25" ht="12.75" customHeight="1">
      <c r="A165">
        <v>24512</v>
      </c>
      <c r="B165" t="s">
        <v>25</v>
      </c>
      <c r="C165" s="4">
        <v>0.1</v>
      </c>
      <c r="D165" s="8">
        <v>1.68</v>
      </c>
      <c r="E165" s="4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 s="5">
        <v>0.59</v>
      </c>
      <c r="O165" t="s">
        <v>33</v>
      </c>
      <c r="P165" t="s">
        <v>53</v>
      </c>
      <c r="Q165" t="s">
        <v>54</v>
      </c>
      <c r="R165" t="s">
        <v>401</v>
      </c>
      <c r="S165" s="7">
        <v>7101</v>
      </c>
      <c r="T165" s="3">
        <v>42172</v>
      </c>
      <c r="U165" s="3">
        <v>42173</v>
      </c>
      <c r="V165" s="4">
        <v>-11.57</v>
      </c>
      <c r="W165">
        <v>11</v>
      </c>
      <c r="X165">
        <v>18.71</v>
      </c>
      <c r="Y165" s="7">
        <v>89293</v>
      </c>
    </row>
    <row r="166" spans="1:25" ht="12.75" customHeight="1">
      <c r="A166">
        <v>19168</v>
      </c>
      <c r="B166" t="s">
        <v>106</v>
      </c>
      <c r="C166" s="4">
        <v>0</v>
      </c>
      <c r="D166" s="8">
        <v>4.13</v>
      </c>
      <c r="E166" s="4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 s="5">
        <v>0.38</v>
      </c>
      <c r="O166" t="s">
        <v>33</v>
      </c>
      <c r="P166" t="s">
        <v>61</v>
      </c>
      <c r="Q166" t="s">
        <v>183</v>
      </c>
      <c r="R166" t="s">
        <v>404</v>
      </c>
      <c r="S166" s="7">
        <v>66203</v>
      </c>
      <c r="T166" s="3">
        <v>42172</v>
      </c>
      <c r="U166" s="3">
        <v>42176</v>
      </c>
      <c r="V166" s="4">
        <v>-61.870000000000005</v>
      </c>
      <c r="W166">
        <v>9</v>
      </c>
      <c r="X166">
        <v>40.950000000000003</v>
      </c>
      <c r="Y166" s="7">
        <v>89761</v>
      </c>
    </row>
    <row r="167" spans="1:25" ht="12.75" customHeight="1">
      <c r="A167">
        <v>19169</v>
      </c>
      <c r="B167" t="s">
        <v>106</v>
      </c>
      <c r="C167" s="4">
        <v>0.1</v>
      </c>
      <c r="D167" s="8">
        <v>130.97999999999999</v>
      </c>
      <c r="E167" s="4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 s="5">
        <v>0.69</v>
      </c>
      <c r="O167" t="s">
        <v>33</v>
      </c>
      <c r="P167" t="s">
        <v>61</v>
      </c>
      <c r="Q167" t="s">
        <v>183</v>
      </c>
      <c r="R167" t="s">
        <v>404</v>
      </c>
      <c r="S167" s="7">
        <v>66203</v>
      </c>
      <c r="T167" s="3">
        <v>42172</v>
      </c>
      <c r="U167" s="3">
        <v>42176</v>
      </c>
      <c r="V167" s="4">
        <v>-530.24</v>
      </c>
      <c r="W167">
        <v>9</v>
      </c>
      <c r="X167">
        <v>1155.73</v>
      </c>
      <c r="Y167" s="7">
        <v>89761</v>
      </c>
    </row>
    <row r="168" spans="1:25" ht="12.75" customHeight="1">
      <c r="A168">
        <v>25624</v>
      </c>
      <c r="B168" t="s">
        <v>47</v>
      </c>
      <c r="C168" s="4">
        <v>0.09</v>
      </c>
      <c r="D168" s="8">
        <v>28.48</v>
      </c>
      <c r="E168" s="4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 s="5">
        <v>0.4</v>
      </c>
      <c r="O168" t="s">
        <v>33</v>
      </c>
      <c r="P168" t="s">
        <v>61</v>
      </c>
      <c r="Q168" t="s">
        <v>183</v>
      </c>
      <c r="R168" t="s">
        <v>408</v>
      </c>
      <c r="S168" s="7">
        <v>67212</v>
      </c>
      <c r="T168" s="3">
        <v>42020</v>
      </c>
      <c r="U168" s="3">
        <v>42023</v>
      </c>
      <c r="V168" s="4">
        <v>132.68699999999998</v>
      </c>
      <c r="W168">
        <v>7</v>
      </c>
      <c r="X168">
        <v>192.3</v>
      </c>
      <c r="Y168" s="7">
        <v>89762</v>
      </c>
    </row>
    <row r="169" spans="1:25" ht="12.75" customHeight="1">
      <c r="A169">
        <v>25625</v>
      </c>
      <c r="B169" t="s">
        <v>47</v>
      </c>
      <c r="C169" s="4">
        <v>0.08</v>
      </c>
      <c r="D169" s="8">
        <v>65.989999999999995</v>
      </c>
      <c r="E169" s="4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 s="5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 s="7">
        <v>67212</v>
      </c>
      <c r="T169" s="3">
        <v>42020</v>
      </c>
      <c r="U169" s="3">
        <v>42022</v>
      </c>
      <c r="V169" s="4">
        <v>496.89</v>
      </c>
      <c r="W169">
        <v>14</v>
      </c>
      <c r="X169">
        <v>748.1</v>
      </c>
      <c r="Y169" s="7">
        <v>89762</v>
      </c>
    </row>
    <row r="170" spans="1:25" ht="12.75" customHeight="1">
      <c r="A170">
        <v>21223</v>
      </c>
      <c r="B170" t="s">
        <v>37</v>
      </c>
      <c r="C170" s="4">
        <v>0.04</v>
      </c>
      <c r="D170" s="8">
        <v>4.9800000000000004</v>
      </c>
      <c r="E170" s="4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 s="5">
        <v>0.64</v>
      </c>
      <c r="O170" t="s">
        <v>33</v>
      </c>
      <c r="P170" t="s">
        <v>34</v>
      </c>
      <c r="Q170" t="s">
        <v>255</v>
      </c>
      <c r="R170" t="s">
        <v>412</v>
      </c>
      <c r="S170" s="7">
        <v>80538</v>
      </c>
      <c r="T170" s="3">
        <v>42088</v>
      </c>
      <c r="U170" s="3">
        <v>42089</v>
      </c>
      <c r="V170" s="4">
        <v>-135.16</v>
      </c>
      <c r="W170">
        <v>20</v>
      </c>
      <c r="X170">
        <v>102.54</v>
      </c>
      <c r="Y170" s="7">
        <v>90837</v>
      </c>
    </row>
    <row r="171" spans="1:25" ht="12.75" customHeight="1">
      <c r="A171">
        <v>23302</v>
      </c>
      <c r="B171" t="s">
        <v>25</v>
      </c>
      <c r="C171" s="4">
        <v>0.01</v>
      </c>
      <c r="D171" s="8">
        <v>8.33</v>
      </c>
      <c r="E171" s="4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 s="5">
        <v>0.52</v>
      </c>
      <c r="O171" t="s">
        <v>33</v>
      </c>
      <c r="P171" t="s">
        <v>53</v>
      </c>
      <c r="Q171" t="s">
        <v>415</v>
      </c>
      <c r="R171" t="s">
        <v>416</v>
      </c>
      <c r="S171" s="7">
        <v>21208</v>
      </c>
      <c r="T171" s="3">
        <v>42049</v>
      </c>
      <c r="U171" s="3">
        <v>42050</v>
      </c>
      <c r="V171" s="4">
        <v>15.895199999999999</v>
      </c>
      <c r="W171">
        <v>8</v>
      </c>
      <c r="X171">
        <v>70.16</v>
      </c>
      <c r="Y171" s="7">
        <v>87057</v>
      </c>
    </row>
    <row r="172" spans="1:25" ht="12.75" customHeight="1">
      <c r="A172">
        <v>23303</v>
      </c>
      <c r="B172" t="s">
        <v>25</v>
      </c>
      <c r="C172" s="4">
        <v>0.04</v>
      </c>
      <c r="D172" s="8">
        <v>85.99</v>
      </c>
      <c r="E172" s="4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 s="5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 s="7">
        <v>21208</v>
      </c>
      <c r="T172" s="3">
        <v>42049</v>
      </c>
      <c r="U172" s="3">
        <v>42051</v>
      </c>
      <c r="V172" s="4">
        <v>855.99329999999986</v>
      </c>
      <c r="W172">
        <v>17</v>
      </c>
      <c r="X172">
        <v>1240.57</v>
      </c>
      <c r="Y172" s="7">
        <v>87057</v>
      </c>
    </row>
    <row r="173" spans="1:25" ht="12.75" customHeight="1">
      <c r="A173">
        <v>5302</v>
      </c>
      <c r="B173" t="s">
        <v>25</v>
      </c>
      <c r="C173" s="4">
        <v>0.01</v>
      </c>
      <c r="D173" s="8">
        <v>8.33</v>
      </c>
      <c r="E173" s="4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 s="5">
        <v>0.52</v>
      </c>
      <c r="O173" t="s">
        <v>33</v>
      </c>
      <c r="P173" t="s">
        <v>34</v>
      </c>
      <c r="Q173" t="s">
        <v>35</v>
      </c>
      <c r="R173" t="s">
        <v>209</v>
      </c>
      <c r="S173" s="7">
        <v>98115</v>
      </c>
      <c r="T173" s="3">
        <v>42049</v>
      </c>
      <c r="U173" s="3">
        <v>42050</v>
      </c>
      <c r="V173" s="4">
        <v>10.74</v>
      </c>
      <c r="W173">
        <v>32</v>
      </c>
      <c r="X173">
        <v>280.62</v>
      </c>
      <c r="Y173" s="7">
        <v>37760</v>
      </c>
    </row>
    <row r="174" spans="1:25" ht="12.75" customHeight="1">
      <c r="A174">
        <v>18853</v>
      </c>
      <c r="B174" t="s">
        <v>56</v>
      </c>
      <c r="C174" s="4">
        <v>0.04</v>
      </c>
      <c r="D174" s="8">
        <v>1637.53</v>
      </c>
      <c r="E174" s="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 s="5">
        <v>0.81</v>
      </c>
      <c r="O174" t="s">
        <v>33</v>
      </c>
      <c r="P174" t="s">
        <v>61</v>
      </c>
      <c r="Q174" t="s">
        <v>178</v>
      </c>
      <c r="R174" t="s">
        <v>388</v>
      </c>
      <c r="S174" s="7">
        <v>60130</v>
      </c>
      <c r="T174" s="3">
        <v>42083</v>
      </c>
      <c r="U174" s="3">
        <v>42085</v>
      </c>
      <c r="V174" s="4">
        <v>-1759.58</v>
      </c>
      <c r="W174">
        <v>2</v>
      </c>
      <c r="X174">
        <v>3206.94</v>
      </c>
      <c r="Y174" s="7">
        <v>89166</v>
      </c>
    </row>
    <row r="175" spans="1:25" ht="12.75" customHeight="1">
      <c r="A175">
        <v>18852</v>
      </c>
      <c r="B175" t="s">
        <v>56</v>
      </c>
      <c r="C175" s="4">
        <v>0.01</v>
      </c>
      <c r="D175" s="8">
        <v>19.98</v>
      </c>
      <c r="E175" s="4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 s="5">
        <v>0.68</v>
      </c>
      <c r="O175" t="s">
        <v>33</v>
      </c>
      <c r="P175" t="s">
        <v>53</v>
      </c>
      <c r="Q175" t="s">
        <v>193</v>
      </c>
      <c r="R175" t="s">
        <v>422</v>
      </c>
      <c r="S175" s="7">
        <v>1007</v>
      </c>
      <c r="T175" s="3">
        <v>42083</v>
      </c>
      <c r="U175" s="3">
        <v>42083</v>
      </c>
      <c r="V175" s="4">
        <v>-72.23</v>
      </c>
      <c r="W175">
        <v>2</v>
      </c>
      <c r="X175">
        <v>43.08</v>
      </c>
      <c r="Y175" s="7">
        <v>89166</v>
      </c>
    </row>
    <row r="176" spans="1:25" ht="12.75" customHeight="1">
      <c r="A176">
        <v>18032</v>
      </c>
      <c r="B176" t="s">
        <v>37</v>
      </c>
      <c r="C176" s="4">
        <v>0.09</v>
      </c>
      <c r="D176" s="8">
        <v>7.38</v>
      </c>
      <c r="E176" s="4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 s="5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 s="7">
        <v>91945</v>
      </c>
      <c r="T176" s="3">
        <v>42172</v>
      </c>
      <c r="U176" s="3">
        <v>42173</v>
      </c>
      <c r="V176" s="4">
        <v>-27.160000000000004</v>
      </c>
      <c r="W176">
        <v>9</v>
      </c>
      <c r="X176">
        <v>66.55</v>
      </c>
      <c r="Y176" s="7">
        <v>86041</v>
      </c>
    </row>
    <row r="177" spans="1:25" ht="12.75" customHeight="1">
      <c r="A177">
        <v>18033</v>
      </c>
      <c r="B177" t="s">
        <v>37</v>
      </c>
      <c r="C177" s="4">
        <v>0.04</v>
      </c>
      <c r="D177" s="8">
        <v>5.98</v>
      </c>
      <c r="E177" s="4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 s="5">
        <v>0.36</v>
      </c>
      <c r="O177" t="s">
        <v>33</v>
      </c>
      <c r="P177" t="s">
        <v>34</v>
      </c>
      <c r="Q177" t="s">
        <v>45</v>
      </c>
      <c r="R177" t="s">
        <v>425</v>
      </c>
      <c r="S177" s="7">
        <v>91945</v>
      </c>
      <c r="T177" s="3">
        <v>42172</v>
      </c>
      <c r="U177" s="3">
        <v>42173</v>
      </c>
      <c r="V177" s="4">
        <v>-52.344000000000008</v>
      </c>
      <c r="W177">
        <v>17</v>
      </c>
      <c r="X177">
        <v>103.49</v>
      </c>
      <c r="Y177" s="7">
        <v>86041</v>
      </c>
    </row>
    <row r="178" spans="1:25" ht="12.75" customHeight="1">
      <c r="A178">
        <v>18034</v>
      </c>
      <c r="B178" t="s">
        <v>37</v>
      </c>
      <c r="C178" s="4">
        <v>0.04</v>
      </c>
      <c r="D178" s="8">
        <v>15.42</v>
      </c>
      <c r="E178" s="4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 s="5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 s="7">
        <v>91945</v>
      </c>
      <c r="T178" s="3">
        <v>42172</v>
      </c>
      <c r="U178" s="3">
        <v>42173</v>
      </c>
      <c r="V178" s="4">
        <v>-119.93599999999999</v>
      </c>
      <c r="W178">
        <v>12</v>
      </c>
      <c r="X178">
        <v>192.18</v>
      </c>
      <c r="Y178" s="7">
        <v>86041</v>
      </c>
    </row>
    <row r="179" spans="1:25" ht="12.75" customHeight="1">
      <c r="A179">
        <v>20641</v>
      </c>
      <c r="B179" t="s">
        <v>106</v>
      </c>
      <c r="C179" s="4">
        <v>0.04</v>
      </c>
      <c r="D179" s="8">
        <v>8.33</v>
      </c>
      <c r="E179" s="4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 s="5">
        <v>0.52</v>
      </c>
      <c r="O179" t="s">
        <v>33</v>
      </c>
      <c r="P179" t="s">
        <v>53</v>
      </c>
      <c r="Q179" t="s">
        <v>415</v>
      </c>
      <c r="R179" t="s">
        <v>428</v>
      </c>
      <c r="S179" s="7">
        <v>20854</v>
      </c>
      <c r="T179" s="3">
        <v>42098</v>
      </c>
      <c r="U179" s="3">
        <v>42103</v>
      </c>
      <c r="V179" s="4">
        <v>9.9267999999999983</v>
      </c>
      <c r="W179">
        <v>11</v>
      </c>
      <c r="X179">
        <v>89.76</v>
      </c>
      <c r="Y179" s="7">
        <v>91057</v>
      </c>
    </row>
    <row r="180" spans="1:25" ht="12.75" customHeight="1">
      <c r="A180">
        <v>25111</v>
      </c>
      <c r="B180" t="s">
        <v>37</v>
      </c>
      <c r="C180" s="4">
        <v>0.06</v>
      </c>
      <c r="D180" s="8">
        <v>7.99</v>
      </c>
      <c r="E180" s="4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 s="5">
        <v>0.6</v>
      </c>
      <c r="O180" t="s">
        <v>33</v>
      </c>
      <c r="P180" t="s">
        <v>61</v>
      </c>
      <c r="Q180" t="s">
        <v>178</v>
      </c>
      <c r="R180" t="s">
        <v>431</v>
      </c>
      <c r="S180" s="7">
        <v>60510</v>
      </c>
      <c r="T180" s="3">
        <v>42164</v>
      </c>
      <c r="U180" s="3">
        <v>42165</v>
      </c>
      <c r="V180" s="4">
        <v>-29.172000000000001</v>
      </c>
      <c r="W180">
        <v>4</v>
      </c>
      <c r="X180">
        <v>28.46</v>
      </c>
      <c r="Y180" s="7">
        <v>90973</v>
      </c>
    </row>
    <row r="181" spans="1:25" ht="12.75" customHeight="1">
      <c r="A181">
        <v>19159</v>
      </c>
      <c r="B181" t="s">
        <v>56</v>
      </c>
      <c r="C181" s="4">
        <v>0.06</v>
      </c>
      <c r="D181" s="8">
        <v>296.18</v>
      </c>
      <c r="E181" s="4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 s="5">
        <v>0.76</v>
      </c>
      <c r="O181" t="s">
        <v>33</v>
      </c>
      <c r="P181" t="s">
        <v>53</v>
      </c>
      <c r="Q181" t="s">
        <v>188</v>
      </c>
      <c r="R181" t="s">
        <v>433</v>
      </c>
      <c r="S181" s="7">
        <v>4073</v>
      </c>
      <c r="T181" s="3">
        <v>42108</v>
      </c>
      <c r="U181" s="3">
        <v>42109</v>
      </c>
      <c r="V181" s="4">
        <v>-715.7782060000003</v>
      </c>
      <c r="W181">
        <v>5</v>
      </c>
      <c r="X181">
        <v>1170.21</v>
      </c>
      <c r="Y181" s="7">
        <v>89726</v>
      </c>
    </row>
    <row r="182" spans="1:25" ht="12.75" customHeight="1">
      <c r="A182">
        <v>19158</v>
      </c>
      <c r="B182" t="s">
        <v>56</v>
      </c>
      <c r="C182" s="4">
        <v>0.01</v>
      </c>
      <c r="D182" s="8">
        <v>29.1</v>
      </c>
      <c r="E182" s="4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 s="5">
        <v>0.78</v>
      </c>
      <c r="O182" t="s">
        <v>33</v>
      </c>
      <c r="P182" t="s">
        <v>53</v>
      </c>
      <c r="Q182" t="s">
        <v>197</v>
      </c>
      <c r="R182" t="s">
        <v>436</v>
      </c>
      <c r="S182" s="7">
        <v>3045</v>
      </c>
      <c r="T182" s="3">
        <v>42108</v>
      </c>
      <c r="U182" s="3">
        <v>42110</v>
      </c>
      <c r="V182" s="4">
        <v>-22.82</v>
      </c>
      <c r="W182">
        <v>8</v>
      </c>
      <c r="X182">
        <v>243.32</v>
      </c>
      <c r="Y182" s="7">
        <v>89726</v>
      </c>
    </row>
    <row r="183" spans="1:25" ht="12.75" customHeight="1">
      <c r="A183">
        <v>18261</v>
      </c>
      <c r="B183" t="s">
        <v>47</v>
      </c>
      <c r="C183" s="4">
        <v>0.06</v>
      </c>
      <c r="D183" s="8">
        <v>276.2</v>
      </c>
      <c r="E183" s="4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 s="7">
        <v>97504</v>
      </c>
      <c r="T183" s="3">
        <v>42128</v>
      </c>
      <c r="U183" s="3">
        <v>42129</v>
      </c>
      <c r="V183" s="4">
        <v>2639.4708000000001</v>
      </c>
      <c r="W183">
        <v>14</v>
      </c>
      <c r="X183">
        <v>3825.32</v>
      </c>
      <c r="Y183" s="7">
        <v>87277</v>
      </c>
    </row>
    <row r="184" spans="1:25" ht="12.75" customHeight="1">
      <c r="A184">
        <v>18262</v>
      </c>
      <c r="B184" t="s">
        <v>47</v>
      </c>
      <c r="C184" s="4">
        <v>0.09</v>
      </c>
      <c r="D184" s="8">
        <v>6.28</v>
      </c>
      <c r="E184" s="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 s="5">
        <v>0.43</v>
      </c>
      <c r="O184" t="s">
        <v>33</v>
      </c>
      <c r="P184" t="s">
        <v>34</v>
      </c>
      <c r="Q184" t="s">
        <v>102</v>
      </c>
      <c r="R184" t="s">
        <v>439</v>
      </c>
      <c r="S184" s="7">
        <v>97504</v>
      </c>
      <c r="T184" s="3">
        <v>42128</v>
      </c>
      <c r="U184" s="3">
        <v>42128</v>
      </c>
      <c r="V184" s="4">
        <v>-5.2</v>
      </c>
      <c r="W184">
        <v>1</v>
      </c>
      <c r="X184">
        <v>8.5299999999999994</v>
      </c>
      <c r="Y184" s="7">
        <v>87277</v>
      </c>
    </row>
    <row r="185" spans="1:25" ht="12.75" customHeight="1">
      <c r="A185">
        <v>23481</v>
      </c>
      <c r="B185" t="s">
        <v>56</v>
      </c>
      <c r="C185" s="4">
        <v>0.08</v>
      </c>
      <c r="D185" s="8">
        <v>7.77</v>
      </c>
      <c r="E185" s="4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 s="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 s="7">
        <v>43229</v>
      </c>
      <c r="T185" s="3">
        <v>42080</v>
      </c>
      <c r="U185" s="3">
        <v>42081</v>
      </c>
      <c r="V185" s="4">
        <v>-83.65</v>
      </c>
      <c r="W185">
        <v>5</v>
      </c>
      <c r="X185">
        <v>40.299999999999997</v>
      </c>
      <c r="Y185" s="7">
        <v>90583</v>
      </c>
    </row>
    <row r="186" spans="1:25" ht="12.75" customHeight="1">
      <c r="A186">
        <v>23482</v>
      </c>
      <c r="B186" t="s">
        <v>56</v>
      </c>
      <c r="C186" s="4">
        <v>7.0000000000000007E-2</v>
      </c>
      <c r="D186" s="8">
        <v>7.59</v>
      </c>
      <c r="E186" s="4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 s="5">
        <v>0.42</v>
      </c>
      <c r="O186" t="s">
        <v>33</v>
      </c>
      <c r="P186" t="s">
        <v>53</v>
      </c>
      <c r="Q186" t="s">
        <v>154</v>
      </c>
      <c r="R186" t="s">
        <v>443</v>
      </c>
      <c r="S186" s="7">
        <v>43229</v>
      </c>
      <c r="T186" s="3">
        <v>42080</v>
      </c>
      <c r="U186" s="3">
        <v>42082</v>
      </c>
      <c r="V186" s="4">
        <v>24.39</v>
      </c>
      <c r="W186">
        <v>15</v>
      </c>
      <c r="X186">
        <v>111.88</v>
      </c>
      <c r="Y186" s="7">
        <v>90583</v>
      </c>
    </row>
    <row r="187" spans="1:25" ht="12.75" customHeight="1">
      <c r="A187">
        <v>480</v>
      </c>
      <c r="B187" t="s">
        <v>47</v>
      </c>
      <c r="C187" s="4">
        <v>0.01</v>
      </c>
      <c r="D187" s="8">
        <v>3.26</v>
      </c>
      <c r="E187" s="4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 s="5">
        <v>0.41</v>
      </c>
      <c r="O187" t="s">
        <v>33</v>
      </c>
      <c r="P187" t="s">
        <v>136</v>
      </c>
      <c r="Q187" t="s">
        <v>362</v>
      </c>
      <c r="R187" t="s">
        <v>447</v>
      </c>
      <c r="S187" s="7">
        <v>33181</v>
      </c>
      <c r="T187" s="3">
        <v>42128</v>
      </c>
      <c r="U187" s="3">
        <v>42130</v>
      </c>
      <c r="V187" s="4">
        <v>-4.6682999999999995</v>
      </c>
      <c r="W187">
        <v>20</v>
      </c>
      <c r="X187">
        <v>73.97</v>
      </c>
      <c r="Y187" s="7">
        <v>3332</v>
      </c>
    </row>
    <row r="188" spans="1:25" ht="12.75" customHeight="1">
      <c r="A188">
        <v>22784</v>
      </c>
      <c r="B188" t="s">
        <v>47</v>
      </c>
      <c r="C188" s="4">
        <v>0.03</v>
      </c>
      <c r="D188" s="8">
        <v>15.23</v>
      </c>
      <c r="E188" s="4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 s="5">
        <v>0.76</v>
      </c>
      <c r="O188" t="s">
        <v>33</v>
      </c>
      <c r="P188" t="s">
        <v>53</v>
      </c>
      <c r="Q188" t="s">
        <v>188</v>
      </c>
      <c r="R188" t="s">
        <v>450</v>
      </c>
      <c r="S188" s="7">
        <v>4401</v>
      </c>
      <c r="T188" s="3">
        <v>42035</v>
      </c>
      <c r="U188" s="3">
        <v>42036</v>
      </c>
      <c r="V188" s="4">
        <v>11.650950000000002</v>
      </c>
      <c r="W188">
        <v>7</v>
      </c>
      <c r="X188">
        <v>111.86</v>
      </c>
      <c r="Y188" s="7">
        <v>88151</v>
      </c>
    </row>
    <row r="189" spans="1:25" ht="12.75" customHeight="1">
      <c r="A189">
        <v>18480</v>
      </c>
      <c r="B189" t="s">
        <v>47</v>
      </c>
      <c r="C189" s="4">
        <v>0.01</v>
      </c>
      <c r="D189" s="8">
        <v>3.26</v>
      </c>
      <c r="E189" s="4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 s="5">
        <v>0.41</v>
      </c>
      <c r="O189" t="s">
        <v>33</v>
      </c>
      <c r="P189" t="s">
        <v>53</v>
      </c>
      <c r="Q189" t="s">
        <v>188</v>
      </c>
      <c r="R189" t="s">
        <v>452</v>
      </c>
      <c r="S189" s="7">
        <v>4101</v>
      </c>
      <c r="T189" s="3">
        <v>42128</v>
      </c>
      <c r="U189" s="3">
        <v>42130</v>
      </c>
      <c r="V189" s="4">
        <v>0.70200000000000085</v>
      </c>
      <c r="W189">
        <v>5</v>
      </c>
      <c r="X189">
        <v>18.489999999999998</v>
      </c>
      <c r="Y189" s="7">
        <v>88152</v>
      </c>
    </row>
    <row r="190" spans="1:25" ht="12.75" customHeight="1">
      <c r="A190">
        <v>2408</v>
      </c>
      <c r="B190" t="s">
        <v>47</v>
      </c>
      <c r="C190" s="4">
        <v>0</v>
      </c>
      <c r="D190" s="8">
        <v>8.34</v>
      </c>
      <c r="E190" s="4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 s="5">
        <v>0.59</v>
      </c>
      <c r="O190" t="s">
        <v>33</v>
      </c>
      <c r="P190" t="s">
        <v>136</v>
      </c>
      <c r="Q190" t="s">
        <v>362</v>
      </c>
      <c r="R190" t="s">
        <v>447</v>
      </c>
      <c r="S190" s="7">
        <v>33132</v>
      </c>
      <c r="T190" s="3">
        <v>42164</v>
      </c>
      <c r="U190" s="3">
        <v>42166</v>
      </c>
      <c r="V190" s="4">
        <v>5.8624999999999998</v>
      </c>
      <c r="W190">
        <v>23</v>
      </c>
      <c r="X190">
        <v>212.89</v>
      </c>
      <c r="Y190" s="7">
        <v>17446</v>
      </c>
    </row>
    <row r="191" spans="1:25" ht="12.75" customHeight="1">
      <c r="A191">
        <v>1595</v>
      </c>
      <c r="B191" t="s">
        <v>56</v>
      </c>
      <c r="C191" s="4">
        <v>0.04</v>
      </c>
      <c r="D191" s="8">
        <v>99.23</v>
      </c>
      <c r="E191" s="4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 s="5">
        <v>0.35</v>
      </c>
      <c r="O191" t="s">
        <v>33</v>
      </c>
      <c r="P191" t="s">
        <v>136</v>
      </c>
      <c r="Q191" t="s">
        <v>362</v>
      </c>
      <c r="R191" t="s">
        <v>447</v>
      </c>
      <c r="S191" s="7">
        <v>33132</v>
      </c>
      <c r="T191" s="3">
        <v>42006</v>
      </c>
      <c r="U191" s="3">
        <v>42008</v>
      </c>
      <c r="V191" s="4">
        <v>1916.6757</v>
      </c>
      <c r="W191">
        <v>54</v>
      </c>
      <c r="X191">
        <v>5555.6</v>
      </c>
      <c r="Y191" s="7">
        <v>11527</v>
      </c>
    </row>
    <row r="192" spans="1:25" ht="12.75" customHeight="1">
      <c r="A192">
        <v>20408</v>
      </c>
      <c r="B192" t="s">
        <v>47</v>
      </c>
      <c r="C192" s="4">
        <v>0</v>
      </c>
      <c r="D192" s="8">
        <v>8.34</v>
      </c>
      <c r="E192" s="4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 s="5">
        <v>0.59</v>
      </c>
      <c r="O192" t="s">
        <v>33</v>
      </c>
      <c r="P192" t="s">
        <v>53</v>
      </c>
      <c r="Q192" t="s">
        <v>71</v>
      </c>
      <c r="R192" t="s">
        <v>456</v>
      </c>
      <c r="S192" s="7">
        <v>13601</v>
      </c>
      <c r="T192" s="3">
        <v>42164</v>
      </c>
      <c r="U192" s="3">
        <v>42166</v>
      </c>
      <c r="V192" s="4">
        <v>10.5</v>
      </c>
      <c r="W192">
        <v>6</v>
      </c>
      <c r="X192">
        <v>55.54</v>
      </c>
      <c r="Y192" s="7">
        <v>88685</v>
      </c>
    </row>
    <row r="193" spans="1:25" ht="12.75" customHeight="1">
      <c r="A193">
        <v>19595</v>
      </c>
      <c r="B193" t="s">
        <v>56</v>
      </c>
      <c r="C193" s="4">
        <v>0.04</v>
      </c>
      <c r="D193" s="8">
        <v>99.23</v>
      </c>
      <c r="E193" s="4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 s="5">
        <v>0.35</v>
      </c>
      <c r="O193" t="s">
        <v>33</v>
      </c>
      <c r="P193" t="s">
        <v>53</v>
      </c>
      <c r="Q193" t="s">
        <v>71</v>
      </c>
      <c r="R193" t="s">
        <v>456</v>
      </c>
      <c r="S193" s="7">
        <v>13601</v>
      </c>
      <c r="T193" s="3">
        <v>42006</v>
      </c>
      <c r="U193" s="3">
        <v>42008</v>
      </c>
      <c r="V193" s="4">
        <v>993.83459999999991</v>
      </c>
      <c r="W193">
        <v>14</v>
      </c>
      <c r="X193">
        <v>1440.34</v>
      </c>
      <c r="Y193" s="7">
        <v>88686</v>
      </c>
    </row>
    <row r="194" spans="1:25">
      <c r="A194">
        <v>19107</v>
      </c>
      <c r="B194" t="s">
        <v>106</v>
      </c>
      <c r="C194" s="4">
        <v>0.08</v>
      </c>
      <c r="D194" s="8">
        <v>4.8899999999999997</v>
      </c>
      <c r="E194" s="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 s="5">
        <v>0.66</v>
      </c>
      <c r="O194" t="s">
        <v>33</v>
      </c>
      <c r="P194" t="s">
        <v>34</v>
      </c>
      <c r="Q194" t="s">
        <v>378</v>
      </c>
      <c r="R194" t="s">
        <v>459</v>
      </c>
      <c r="S194" s="7">
        <v>85301</v>
      </c>
      <c r="T194" s="3">
        <v>42138</v>
      </c>
      <c r="U194" s="3">
        <v>42138</v>
      </c>
      <c r="V194" s="4">
        <v>-165.45</v>
      </c>
      <c r="W194">
        <v>17</v>
      </c>
      <c r="X194">
        <v>84.76</v>
      </c>
      <c r="Y194" s="7">
        <v>89647</v>
      </c>
    </row>
    <row r="195" spans="1:25">
      <c r="A195">
        <v>19108</v>
      </c>
      <c r="B195" t="s">
        <v>106</v>
      </c>
      <c r="C195" s="4">
        <v>7.0000000000000007E-2</v>
      </c>
      <c r="D195" s="8">
        <v>6.68</v>
      </c>
      <c r="E195" s="4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 s="5">
        <v>0.37</v>
      </c>
      <c r="O195" t="s">
        <v>33</v>
      </c>
      <c r="P195" t="s">
        <v>34</v>
      </c>
      <c r="Q195" t="s">
        <v>378</v>
      </c>
      <c r="R195" t="s">
        <v>459</v>
      </c>
      <c r="S195" s="7">
        <v>85301</v>
      </c>
      <c r="T195" s="3">
        <v>42138</v>
      </c>
      <c r="U195" s="3">
        <v>42145</v>
      </c>
      <c r="V195" s="4">
        <v>-141.12</v>
      </c>
      <c r="W195">
        <v>16</v>
      </c>
      <c r="X195">
        <v>104.84</v>
      </c>
      <c r="Y195" s="7">
        <v>89647</v>
      </c>
    </row>
    <row r="196" spans="1:25">
      <c r="A196">
        <v>20760</v>
      </c>
      <c r="B196" t="s">
        <v>47</v>
      </c>
      <c r="C196" s="4">
        <v>7.0000000000000007E-2</v>
      </c>
      <c r="D196" s="8">
        <v>124.49</v>
      </c>
      <c r="E196" s="4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 s="5">
        <v>0.63</v>
      </c>
      <c r="O196" t="s">
        <v>33</v>
      </c>
      <c r="P196" t="s">
        <v>34</v>
      </c>
      <c r="Q196" t="s">
        <v>378</v>
      </c>
      <c r="R196" t="s">
        <v>463</v>
      </c>
      <c r="S196" s="7">
        <v>86401</v>
      </c>
      <c r="T196" s="3">
        <v>42148</v>
      </c>
      <c r="U196" s="3">
        <v>42149</v>
      </c>
      <c r="V196" s="4">
        <v>1074.44</v>
      </c>
      <c r="W196">
        <v>14</v>
      </c>
      <c r="X196">
        <v>1714.93</v>
      </c>
      <c r="Y196" s="7">
        <v>91131</v>
      </c>
    </row>
    <row r="197" spans="1:25" ht="12.75" customHeight="1">
      <c r="A197">
        <v>24627</v>
      </c>
      <c r="B197" t="s">
        <v>106</v>
      </c>
      <c r="C197" s="4">
        <v>0.04</v>
      </c>
      <c r="D197" s="8">
        <v>125.99</v>
      </c>
      <c r="E197" s="4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 s="5">
        <v>0.59</v>
      </c>
      <c r="O197" t="s">
        <v>33</v>
      </c>
      <c r="P197" t="s">
        <v>53</v>
      </c>
      <c r="Q197" t="s">
        <v>234</v>
      </c>
      <c r="R197" t="s">
        <v>466</v>
      </c>
      <c r="S197" s="7">
        <v>19406</v>
      </c>
      <c r="T197" s="3">
        <v>42013</v>
      </c>
      <c r="U197" s="3">
        <v>42020</v>
      </c>
      <c r="V197" s="4">
        <v>-627.82191999999998</v>
      </c>
      <c r="W197">
        <v>1</v>
      </c>
      <c r="X197">
        <v>107.95</v>
      </c>
      <c r="Y197" s="7">
        <v>91130</v>
      </c>
    </row>
    <row r="198" spans="1:25" ht="12.75" customHeight="1">
      <c r="A198">
        <v>18278</v>
      </c>
      <c r="B198" t="s">
        <v>56</v>
      </c>
      <c r="C198" s="4">
        <v>0.05</v>
      </c>
      <c r="D198" s="8">
        <v>328.14</v>
      </c>
      <c r="E198" s="4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 s="5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 s="7">
        <v>2910</v>
      </c>
      <c r="T198" s="3">
        <v>42021</v>
      </c>
      <c r="U198" s="3">
        <v>42023</v>
      </c>
      <c r="V198" s="4">
        <v>411.5172</v>
      </c>
      <c r="W198">
        <v>6</v>
      </c>
      <c r="X198">
        <v>1967.98</v>
      </c>
      <c r="Y198" s="7">
        <v>87347</v>
      </c>
    </row>
    <row r="199" spans="1:25" ht="12.75" customHeight="1">
      <c r="A199">
        <v>24794</v>
      </c>
      <c r="B199" t="s">
        <v>106</v>
      </c>
      <c r="C199" s="4">
        <v>0.09</v>
      </c>
      <c r="D199" s="8">
        <v>19.23</v>
      </c>
      <c r="E199" s="4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 s="5">
        <v>0.44</v>
      </c>
      <c r="O199" t="s">
        <v>33</v>
      </c>
      <c r="P199" t="s">
        <v>34</v>
      </c>
      <c r="Q199" t="s">
        <v>45</v>
      </c>
      <c r="R199" t="s">
        <v>473</v>
      </c>
      <c r="S199" s="7">
        <v>94601</v>
      </c>
      <c r="T199" s="3">
        <v>42105</v>
      </c>
      <c r="U199" s="3">
        <v>42107</v>
      </c>
      <c r="V199" s="4">
        <v>211.232</v>
      </c>
      <c r="W199">
        <v>21</v>
      </c>
      <c r="X199">
        <v>394.1</v>
      </c>
      <c r="Y199" s="7">
        <v>90292</v>
      </c>
    </row>
    <row r="200" spans="1:25" ht="12.75" customHeight="1">
      <c r="A200">
        <v>20401</v>
      </c>
      <c r="B200" t="s">
        <v>37</v>
      </c>
      <c r="C200" s="4">
        <v>0.02</v>
      </c>
      <c r="D200" s="8">
        <v>20.99</v>
      </c>
      <c r="E200" s="4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 s="5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 s="7">
        <v>4240</v>
      </c>
      <c r="T200" s="3">
        <v>42151</v>
      </c>
      <c r="U200" s="3">
        <v>42153</v>
      </c>
      <c r="V200" s="4">
        <v>49.787999999999997</v>
      </c>
      <c r="W200">
        <v>15</v>
      </c>
      <c r="X200">
        <v>266.39</v>
      </c>
      <c r="Y200" s="7">
        <v>90291</v>
      </c>
    </row>
    <row r="201" spans="1:25" ht="12.75" customHeight="1">
      <c r="A201">
        <v>20400</v>
      </c>
      <c r="B201" t="s">
        <v>37</v>
      </c>
      <c r="C201" s="4">
        <v>0.05</v>
      </c>
      <c r="D201" s="8">
        <v>5.4</v>
      </c>
      <c r="E201" s="4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 s="5">
        <v>0.37</v>
      </c>
      <c r="O201" t="s">
        <v>33</v>
      </c>
      <c r="P201" t="s">
        <v>53</v>
      </c>
      <c r="Q201" t="s">
        <v>193</v>
      </c>
      <c r="R201" t="s">
        <v>478</v>
      </c>
      <c r="S201" s="7">
        <v>2149</v>
      </c>
      <c r="T201" s="3">
        <v>42151</v>
      </c>
      <c r="U201" s="3">
        <v>42153</v>
      </c>
      <c r="V201" s="4">
        <v>-132.62950000000001</v>
      </c>
      <c r="W201">
        <v>9</v>
      </c>
      <c r="X201">
        <v>51.82</v>
      </c>
      <c r="Y201" s="7">
        <v>90291</v>
      </c>
    </row>
    <row r="202" spans="1:25" ht="12.75" customHeight="1">
      <c r="A202">
        <v>3392</v>
      </c>
      <c r="B202" t="s">
        <v>37</v>
      </c>
      <c r="C202" s="4">
        <v>0.02</v>
      </c>
      <c r="D202" s="8">
        <v>200.98</v>
      </c>
      <c r="E202" s="4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 s="5">
        <v>0.75</v>
      </c>
      <c r="O202" t="s">
        <v>33</v>
      </c>
      <c r="P202" t="s">
        <v>61</v>
      </c>
      <c r="Q202" t="s">
        <v>300</v>
      </c>
      <c r="R202" t="s">
        <v>301</v>
      </c>
      <c r="S202" s="7">
        <v>48234</v>
      </c>
      <c r="T202" s="3">
        <v>42077</v>
      </c>
      <c r="U202" s="3">
        <v>42079</v>
      </c>
      <c r="V202" s="4">
        <v>-163.63</v>
      </c>
      <c r="W202">
        <v>45</v>
      </c>
      <c r="X202">
        <v>9539.6</v>
      </c>
      <c r="Y202" s="7">
        <v>24193</v>
      </c>
    </row>
    <row r="203" spans="1:25" ht="12.75" customHeight="1">
      <c r="A203">
        <v>3393</v>
      </c>
      <c r="B203" t="s">
        <v>37</v>
      </c>
      <c r="C203" s="4">
        <v>0.02</v>
      </c>
      <c r="D203" s="8">
        <v>4.28</v>
      </c>
      <c r="E203" s="4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 s="5">
        <v>0.4</v>
      </c>
      <c r="O203" t="s">
        <v>33</v>
      </c>
      <c r="P203" t="s">
        <v>61</v>
      </c>
      <c r="Q203" t="s">
        <v>300</v>
      </c>
      <c r="R203" t="s">
        <v>301</v>
      </c>
      <c r="S203" s="7">
        <v>48234</v>
      </c>
      <c r="T203" s="3">
        <v>42077</v>
      </c>
      <c r="U203" s="3">
        <v>42078</v>
      </c>
      <c r="V203" s="4">
        <v>-63.87</v>
      </c>
      <c r="W203">
        <v>24</v>
      </c>
      <c r="X203">
        <v>109.86</v>
      </c>
      <c r="Y203" s="7">
        <v>24193</v>
      </c>
    </row>
    <row r="204" spans="1:25" ht="12.75" customHeight="1">
      <c r="A204">
        <v>3394</v>
      </c>
      <c r="B204" t="s">
        <v>37</v>
      </c>
      <c r="C204" s="4">
        <v>0.04</v>
      </c>
      <c r="D204" s="8">
        <v>85.99</v>
      </c>
      <c r="E204" s="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 s="5">
        <v>0.85</v>
      </c>
      <c r="O204" t="s">
        <v>33</v>
      </c>
      <c r="P204" t="s">
        <v>61</v>
      </c>
      <c r="Q204" t="s">
        <v>300</v>
      </c>
      <c r="R204" t="s">
        <v>301</v>
      </c>
      <c r="S204" s="7">
        <v>48234</v>
      </c>
      <c r="T204" s="3">
        <v>42077</v>
      </c>
      <c r="U204" s="3">
        <v>42079</v>
      </c>
      <c r="V204" s="4">
        <v>-175.17500000000001</v>
      </c>
      <c r="W204">
        <v>19</v>
      </c>
      <c r="X204">
        <v>1426.51</v>
      </c>
      <c r="Y204" s="7">
        <v>24193</v>
      </c>
    </row>
    <row r="205" spans="1:25" ht="12.75" customHeight="1">
      <c r="A205">
        <v>21392</v>
      </c>
      <c r="B205" t="s">
        <v>37</v>
      </c>
      <c r="C205" s="4">
        <v>0.02</v>
      </c>
      <c r="D205" s="8">
        <v>200.98</v>
      </c>
      <c r="E205" s="4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 s="5">
        <v>0.75</v>
      </c>
      <c r="O205" t="s">
        <v>33</v>
      </c>
      <c r="P205" t="s">
        <v>136</v>
      </c>
      <c r="Q205" t="s">
        <v>244</v>
      </c>
      <c r="R205" t="s">
        <v>484</v>
      </c>
      <c r="S205" s="7">
        <v>37814</v>
      </c>
      <c r="T205" s="3">
        <v>42077</v>
      </c>
      <c r="U205" s="3">
        <v>42079</v>
      </c>
      <c r="V205" s="4">
        <v>-224.94779999999997</v>
      </c>
      <c r="W205">
        <v>11</v>
      </c>
      <c r="X205">
        <v>2331.9</v>
      </c>
      <c r="Y205" s="7">
        <v>90917</v>
      </c>
    </row>
    <row r="206" spans="1:25" ht="12.75" customHeight="1">
      <c r="A206">
        <v>21393</v>
      </c>
      <c r="B206" t="s">
        <v>37</v>
      </c>
      <c r="C206" s="4">
        <v>0.02</v>
      </c>
      <c r="D206" s="8">
        <v>4.28</v>
      </c>
      <c r="E206" s="4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 s="5">
        <v>0.4</v>
      </c>
      <c r="O206" t="s">
        <v>33</v>
      </c>
      <c r="P206" t="s">
        <v>136</v>
      </c>
      <c r="Q206" t="s">
        <v>244</v>
      </c>
      <c r="R206" t="s">
        <v>484</v>
      </c>
      <c r="S206" s="7">
        <v>37814</v>
      </c>
      <c r="T206" s="3">
        <v>42077</v>
      </c>
      <c r="U206" s="3">
        <v>42078</v>
      </c>
      <c r="V206" s="4">
        <v>196.79999999999998</v>
      </c>
      <c r="W206">
        <v>6</v>
      </c>
      <c r="X206">
        <v>27.47</v>
      </c>
      <c r="Y206" s="7">
        <v>90917</v>
      </c>
    </row>
    <row r="207" spans="1:25" ht="12.75" customHeight="1">
      <c r="A207">
        <v>19073</v>
      </c>
      <c r="B207" t="s">
        <v>56</v>
      </c>
      <c r="C207" s="4">
        <v>0.03</v>
      </c>
      <c r="D207" s="8">
        <v>25.98</v>
      </c>
      <c r="E207" s="4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 s="5">
        <v>0.5</v>
      </c>
      <c r="O207" t="s">
        <v>33</v>
      </c>
      <c r="P207" t="s">
        <v>61</v>
      </c>
      <c r="Q207" t="s">
        <v>178</v>
      </c>
      <c r="R207" t="s">
        <v>431</v>
      </c>
      <c r="S207" s="7">
        <v>60510</v>
      </c>
      <c r="T207" s="3">
        <v>42111</v>
      </c>
      <c r="U207" s="3">
        <v>42111</v>
      </c>
      <c r="V207" s="4">
        <v>250.03759999999997</v>
      </c>
      <c r="W207">
        <v>17</v>
      </c>
      <c r="X207">
        <v>460.87</v>
      </c>
      <c r="Y207" s="7">
        <v>89579</v>
      </c>
    </row>
    <row r="208" spans="1:25" ht="12.75" customHeight="1">
      <c r="A208">
        <v>22401</v>
      </c>
      <c r="B208" t="s">
        <v>37</v>
      </c>
      <c r="C208" s="4">
        <v>7.0000000000000007E-2</v>
      </c>
      <c r="D208" s="8">
        <v>415.88</v>
      </c>
      <c r="E208" s="4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 s="5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 s="7">
        <v>61701</v>
      </c>
      <c r="T208" s="3">
        <v>42125</v>
      </c>
      <c r="U208" s="3">
        <v>42125</v>
      </c>
      <c r="V208" s="4">
        <v>-539.59</v>
      </c>
      <c r="W208">
        <v>1</v>
      </c>
      <c r="X208">
        <v>394.51</v>
      </c>
      <c r="Y208" s="7">
        <v>88929</v>
      </c>
    </row>
    <row r="209" spans="1:25" ht="12.75" customHeight="1">
      <c r="A209">
        <v>21281</v>
      </c>
      <c r="B209" t="s">
        <v>47</v>
      </c>
      <c r="C209" s="4">
        <v>0.06</v>
      </c>
      <c r="D209" s="8">
        <v>5.34</v>
      </c>
      <c r="E209" s="4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 s="5">
        <v>0.39</v>
      </c>
      <c r="O209" t="s">
        <v>33</v>
      </c>
      <c r="P209" t="s">
        <v>53</v>
      </c>
      <c r="Q209" t="s">
        <v>234</v>
      </c>
      <c r="R209" t="s">
        <v>492</v>
      </c>
      <c r="S209" s="7">
        <v>19026</v>
      </c>
      <c r="T209" s="3">
        <v>42082</v>
      </c>
      <c r="U209" s="3">
        <v>42082</v>
      </c>
      <c r="V209" s="4">
        <v>-82.822999999999993</v>
      </c>
      <c r="W209">
        <v>7</v>
      </c>
      <c r="X209">
        <v>38.65</v>
      </c>
      <c r="Y209" s="7">
        <v>88928</v>
      </c>
    </row>
    <row r="210" spans="1:25" ht="12.75" customHeight="1">
      <c r="A210">
        <v>21282</v>
      </c>
      <c r="B210" t="s">
        <v>47</v>
      </c>
      <c r="C210" s="4">
        <v>7.0000000000000007E-2</v>
      </c>
      <c r="D210" s="8">
        <v>65.989999999999995</v>
      </c>
      <c r="E210" s="4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 s="5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 s="7">
        <v>19026</v>
      </c>
      <c r="T210" s="3">
        <v>42082</v>
      </c>
      <c r="U210" s="3">
        <v>42084</v>
      </c>
      <c r="V210" s="4">
        <v>107.08200000000001</v>
      </c>
      <c r="W210">
        <v>5</v>
      </c>
      <c r="X210">
        <v>279.83</v>
      </c>
      <c r="Y210" s="7">
        <v>88928</v>
      </c>
    </row>
    <row r="211" spans="1:25" ht="12.75" customHeight="1">
      <c r="A211">
        <v>20919</v>
      </c>
      <c r="B211" t="s">
        <v>25</v>
      </c>
      <c r="C211" s="4">
        <v>0.1</v>
      </c>
      <c r="D211" s="8">
        <v>8.8800000000000008</v>
      </c>
      <c r="E211" s="4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 s="5">
        <v>0.35</v>
      </c>
      <c r="O211" t="s">
        <v>33</v>
      </c>
      <c r="P211" t="s">
        <v>61</v>
      </c>
      <c r="Q211" t="s">
        <v>496</v>
      </c>
      <c r="R211" t="s">
        <v>497</v>
      </c>
      <c r="S211" s="7">
        <v>68801</v>
      </c>
      <c r="T211" s="3">
        <v>42167</v>
      </c>
      <c r="U211" s="3">
        <v>42169</v>
      </c>
      <c r="V211" s="4">
        <v>-27.283750000000001</v>
      </c>
      <c r="W211">
        <v>15</v>
      </c>
      <c r="X211">
        <v>126.9</v>
      </c>
      <c r="Y211" s="7">
        <v>90339</v>
      </c>
    </row>
    <row r="212" spans="1:25" ht="12.75" customHeight="1">
      <c r="A212">
        <v>22223</v>
      </c>
      <c r="B212" t="s">
        <v>47</v>
      </c>
      <c r="C212" s="4">
        <v>0.03</v>
      </c>
      <c r="D212" s="8">
        <v>5.28</v>
      </c>
      <c r="E212" s="4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 s="5">
        <v>0.4</v>
      </c>
      <c r="O212" t="s">
        <v>33</v>
      </c>
      <c r="P212" t="s">
        <v>61</v>
      </c>
      <c r="Q212" t="s">
        <v>496</v>
      </c>
      <c r="R212" t="s">
        <v>500</v>
      </c>
      <c r="S212" s="7">
        <v>68847</v>
      </c>
      <c r="T212" s="3">
        <v>42007</v>
      </c>
      <c r="U212" s="3">
        <v>42009</v>
      </c>
      <c r="V212" s="4">
        <v>-51.559199999999997</v>
      </c>
      <c r="W212">
        <v>4</v>
      </c>
      <c r="X212">
        <v>22.82</v>
      </c>
      <c r="Y212" s="7">
        <v>90337</v>
      </c>
    </row>
    <row r="213" spans="1:25" ht="12.75" customHeight="1">
      <c r="A213">
        <v>22224</v>
      </c>
      <c r="B213" t="s">
        <v>47</v>
      </c>
      <c r="C213" s="4">
        <v>0.01</v>
      </c>
      <c r="D213" s="8">
        <v>110.99</v>
      </c>
      <c r="E213" s="4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 s="5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 s="7">
        <v>68847</v>
      </c>
      <c r="T213" s="3">
        <v>42007</v>
      </c>
      <c r="U213" s="3">
        <v>42010</v>
      </c>
      <c r="V213" s="4">
        <v>-263.56572</v>
      </c>
      <c r="W213">
        <v>2</v>
      </c>
      <c r="X213">
        <v>188.66</v>
      </c>
      <c r="Y213" s="7">
        <v>90337</v>
      </c>
    </row>
    <row r="214" spans="1:25" ht="12.75" customHeight="1">
      <c r="A214">
        <v>23853</v>
      </c>
      <c r="B214" t="s">
        <v>106</v>
      </c>
      <c r="C214" s="4">
        <v>0.03</v>
      </c>
      <c r="D214" s="8">
        <v>160.97999999999999</v>
      </c>
      <c r="E214" s="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 s="5">
        <v>0.62</v>
      </c>
      <c r="O214" t="s">
        <v>33</v>
      </c>
      <c r="P214" t="s">
        <v>61</v>
      </c>
      <c r="Q214" t="s">
        <v>496</v>
      </c>
      <c r="R214" t="s">
        <v>503</v>
      </c>
      <c r="S214" s="7">
        <v>68502</v>
      </c>
      <c r="T214" s="3">
        <v>42041</v>
      </c>
      <c r="U214" s="3">
        <v>42045</v>
      </c>
      <c r="V214" s="4">
        <v>1273.2086999999999</v>
      </c>
      <c r="W214">
        <v>11</v>
      </c>
      <c r="X214">
        <v>1845.23</v>
      </c>
      <c r="Y214" s="7">
        <v>90338</v>
      </c>
    </row>
    <row r="215" spans="1:25" ht="12.75" customHeight="1">
      <c r="A215">
        <v>25449</v>
      </c>
      <c r="B215" t="s">
        <v>56</v>
      </c>
      <c r="C215" s="4">
        <v>0.02</v>
      </c>
      <c r="D215" s="8">
        <v>34.979999999999997</v>
      </c>
      <c r="E215" s="4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 s="5">
        <v>0.76</v>
      </c>
      <c r="O215" t="s">
        <v>33</v>
      </c>
      <c r="P215" t="s">
        <v>61</v>
      </c>
      <c r="Q215" t="s">
        <v>506</v>
      </c>
      <c r="R215" t="s">
        <v>507</v>
      </c>
      <c r="S215" s="7">
        <v>63105</v>
      </c>
      <c r="T215" s="3">
        <v>42068</v>
      </c>
      <c r="U215" s="3">
        <v>42070</v>
      </c>
      <c r="V215" s="4">
        <v>-159.68</v>
      </c>
      <c r="W215">
        <v>1</v>
      </c>
      <c r="X215">
        <v>37.159999999999997</v>
      </c>
      <c r="Y215" s="7">
        <v>86383</v>
      </c>
    </row>
    <row r="216" spans="1:25" ht="12.75" customHeight="1">
      <c r="A216">
        <v>25450</v>
      </c>
      <c r="B216" t="s">
        <v>56</v>
      </c>
      <c r="C216" s="4">
        <v>0.01</v>
      </c>
      <c r="D216" s="8">
        <v>19.989999999999998</v>
      </c>
      <c r="E216" s="4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 s="5">
        <v>0.6</v>
      </c>
      <c r="O216" t="s">
        <v>33</v>
      </c>
      <c r="P216" t="s">
        <v>61</v>
      </c>
      <c r="Q216" t="s">
        <v>506</v>
      </c>
      <c r="R216" t="s">
        <v>507</v>
      </c>
      <c r="S216" s="7">
        <v>63105</v>
      </c>
      <c r="T216" s="3">
        <v>42068</v>
      </c>
      <c r="U216" s="3">
        <v>42071</v>
      </c>
      <c r="V216" s="4">
        <v>27.91</v>
      </c>
      <c r="W216">
        <v>2</v>
      </c>
      <c r="X216">
        <v>43.65</v>
      </c>
      <c r="Y216" s="7">
        <v>86383</v>
      </c>
    </row>
    <row r="217" spans="1:25" ht="12.75" customHeight="1">
      <c r="A217">
        <v>22598</v>
      </c>
      <c r="B217" t="s">
        <v>106</v>
      </c>
      <c r="C217" s="4">
        <v>7.0000000000000007E-2</v>
      </c>
      <c r="D217" s="8">
        <v>9.7100000000000009</v>
      </c>
      <c r="E217" s="4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 s="5">
        <v>0.6</v>
      </c>
      <c r="O217" t="s">
        <v>33</v>
      </c>
      <c r="P217" t="s">
        <v>53</v>
      </c>
      <c r="Q217" t="s">
        <v>71</v>
      </c>
      <c r="R217" t="s">
        <v>511</v>
      </c>
      <c r="S217" s="7">
        <v>13021</v>
      </c>
      <c r="T217" s="3">
        <v>42050</v>
      </c>
      <c r="U217" s="3">
        <v>42057</v>
      </c>
      <c r="V217" s="4">
        <v>-81.77</v>
      </c>
      <c r="W217">
        <v>3</v>
      </c>
      <c r="X217">
        <v>31.44</v>
      </c>
      <c r="Y217" s="7">
        <v>86382</v>
      </c>
    </row>
    <row r="218" spans="1:25" ht="12.75" customHeight="1">
      <c r="A218">
        <v>24638</v>
      </c>
      <c r="B218" t="s">
        <v>47</v>
      </c>
      <c r="C218" s="4">
        <v>0.04</v>
      </c>
      <c r="D218" s="8">
        <v>15.98</v>
      </c>
      <c r="E218" s="4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 s="5">
        <v>0.37</v>
      </c>
      <c r="O218" t="s">
        <v>33</v>
      </c>
      <c r="P218" t="s">
        <v>136</v>
      </c>
      <c r="Q218" t="s">
        <v>322</v>
      </c>
      <c r="R218" t="s">
        <v>514</v>
      </c>
      <c r="S218" s="7">
        <v>28001</v>
      </c>
      <c r="T218" s="3">
        <v>42173</v>
      </c>
      <c r="U218" s="3">
        <v>42174</v>
      </c>
      <c r="V218" s="4">
        <v>-19.208000000000002</v>
      </c>
      <c r="W218">
        <v>4</v>
      </c>
      <c r="X218">
        <v>64.59</v>
      </c>
      <c r="Y218" s="7">
        <v>86384</v>
      </c>
    </row>
    <row r="219" spans="1:25" ht="12.75" customHeight="1">
      <c r="A219">
        <v>24639</v>
      </c>
      <c r="B219" t="s">
        <v>47</v>
      </c>
      <c r="C219" s="4">
        <v>0.06</v>
      </c>
      <c r="D219" s="8">
        <v>22.84</v>
      </c>
      <c r="E219" s="4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 s="5">
        <v>0.39</v>
      </c>
      <c r="O219" t="s">
        <v>33</v>
      </c>
      <c r="P219" t="s">
        <v>136</v>
      </c>
      <c r="Q219" t="s">
        <v>322</v>
      </c>
      <c r="R219" t="s">
        <v>514</v>
      </c>
      <c r="S219" s="7">
        <v>28001</v>
      </c>
      <c r="T219" s="3">
        <v>42173</v>
      </c>
      <c r="U219" s="3">
        <v>42175</v>
      </c>
      <c r="V219" s="4">
        <v>7.4399999999999995</v>
      </c>
      <c r="W219">
        <v>20</v>
      </c>
      <c r="X219">
        <v>461.94</v>
      </c>
      <c r="Y219" s="7">
        <v>86384</v>
      </c>
    </row>
    <row r="220" spans="1:25" ht="12.75" customHeight="1">
      <c r="A220">
        <v>20693</v>
      </c>
      <c r="B220" t="s">
        <v>47</v>
      </c>
      <c r="C220" s="4">
        <v>0.1</v>
      </c>
      <c r="D220" s="8">
        <v>154.13</v>
      </c>
      <c r="E220" s="4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 s="5">
        <v>0.68</v>
      </c>
      <c r="O220" t="s">
        <v>33</v>
      </c>
      <c r="P220" t="s">
        <v>53</v>
      </c>
      <c r="Q220" t="s">
        <v>154</v>
      </c>
      <c r="R220" t="s">
        <v>517</v>
      </c>
      <c r="S220" s="7">
        <v>44221</v>
      </c>
      <c r="T220" s="3">
        <v>42037</v>
      </c>
      <c r="U220" s="3">
        <v>42038</v>
      </c>
      <c r="V220" s="4">
        <v>-372.48597100000006</v>
      </c>
      <c r="W220">
        <v>8</v>
      </c>
      <c r="X220">
        <v>1216.32</v>
      </c>
      <c r="Y220" s="7">
        <v>89319</v>
      </c>
    </row>
    <row r="221" spans="1:25" ht="12.75" customHeight="1">
      <c r="A221">
        <v>24471</v>
      </c>
      <c r="B221" t="s">
        <v>56</v>
      </c>
      <c r="C221" s="4">
        <v>0.05</v>
      </c>
      <c r="D221" s="8">
        <v>63.94</v>
      </c>
      <c r="E221" s="4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 s="5">
        <v>0.46</v>
      </c>
      <c r="O221" t="s">
        <v>33</v>
      </c>
      <c r="P221" t="s">
        <v>53</v>
      </c>
      <c r="Q221" t="s">
        <v>154</v>
      </c>
      <c r="R221" t="s">
        <v>520</v>
      </c>
      <c r="S221" s="7">
        <v>45406</v>
      </c>
      <c r="T221" s="3">
        <v>42147</v>
      </c>
      <c r="U221" s="3">
        <v>42149</v>
      </c>
      <c r="V221" s="4">
        <v>1372.6307999999999</v>
      </c>
      <c r="W221">
        <v>31</v>
      </c>
      <c r="X221">
        <v>1989.32</v>
      </c>
      <c r="Y221" s="7">
        <v>89320</v>
      </c>
    </row>
    <row r="222" spans="1:25" ht="12.75" customHeight="1">
      <c r="A222">
        <v>21570</v>
      </c>
      <c r="B222" t="s">
        <v>25</v>
      </c>
      <c r="C222" s="4">
        <v>0.03</v>
      </c>
      <c r="D222" s="8">
        <v>4.9800000000000004</v>
      </c>
      <c r="E222" s="4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 s="5">
        <v>0.36</v>
      </c>
      <c r="O222" t="s">
        <v>33</v>
      </c>
      <c r="P222" t="s">
        <v>53</v>
      </c>
      <c r="Q222" t="s">
        <v>54</v>
      </c>
      <c r="R222" t="s">
        <v>523</v>
      </c>
      <c r="S222" s="7">
        <v>8360</v>
      </c>
      <c r="T222" s="3">
        <v>42145</v>
      </c>
      <c r="U222" s="3">
        <v>42146</v>
      </c>
      <c r="V222" s="4">
        <v>50.2044</v>
      </c>
      <c r="W222">
        <v>15</v>
      </c>
      <c r="X222">
        <v>72.760000000000005</v>
      </c>
      <c r="Y222" s="7">
        <v>87804</v>
      </c>
    </row>
    <row r="223" spans="1:25" ht="12.75" customHeight="1">
      <c r="A223">
        <v>19104</v>
      </c>
      <c r="B223" t="s">
        <v>106</v>
      </c>
      <c r="C223" s="4">
        <v>7.0000000000000007E-2</v>
      </c>
      <c r="D223" s="8">
        <v>29.17</v>
      </c>
      <c r="E223" s="4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 s="5">
        <v>0.37</v>
      </c>
      <c r="O223" t="s">
        <v>33</v>
      </c>
      <c r="P223" t="s">
        <v>61</v>
      </c>
      <c r="Q223" t="s">
        <v>130</v>
      </c>
      <c r="R223" t="s">
        <v>526</v>
      </c>
      <c r="S223" s="7">
        <v>78589</v>
      </c>
      <c r="T223" s="3">
        <v>42126</v>
      </c>
      <c r="U223" s="3">
        <v>42130</v>
      </c>
      <c r="V223" s="4">
        <v>236.2371</v>
      </c>
      <c r="W223">
        <v>14</v>
      </c>
      <c r="X223">
        <v>400.47</v>
      </c>
      <c r="Y223" s="7">
        <v>89639</v>
      </c>
    </row>
    <row r="224" spans="1:25" ht="12.75" customHeight="1">
      <c r="A224">
        <v>18428</v>
      </c>
      <c r="B224" t="s">
        <v>25</v>
      </c>
      <c r="C224" s="4">
        <v>0.05</v>
      </c>
      <c r="D224" s="8">
        <v>178.47</v>
      </c>
      <c r="E224" s="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 s="5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 s="7">
        <v>94601</v>
      </c>
      <c r="T224" s="3">
        <v>42128</v>
      </c>
      <c r="U224" s="3">
        <v>42131</v>
      </c>
      <c r="V224" s="4">
        <v>943</v>
      </c>
      <c r="W224">
        <v>9</v>
      </c>
      <c r="X224">
        <v>1531.31</v>
      </c>
      <c r="Y224" s="7">
        <v>87905</v>
      </c>
    </row>
    <row r="225" spans="1:25" ht="12.75" customHeight="1">
      <c r="A225">
        <v>21739</v>
      </c>
      <c r="B225" t="s">
        <v>47</v>
      </c>
      <c r="C225" s="4">
        <v>0.09</v>
      </c>
      <c r="D225" s="8">
        <v>999.99</v>
      </c>
      <c r="E225" s="4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 s="5">
        <v>0.36</v>
      </c>
      <c r="O225" t="s">
        <v>33</v>
      </c>
      <c r="P225" t="s">
        <v>53</v>
      </c>
      <c r="Q225" t="s">
        <v>54</v>
      </c>
      <c r="R225" t="s">
        <v>531</v>
      </c>
      <c r="S225" s="7">
        <v>7201</v>
      </c>
      <c r="T225" s="3">
        <v>42041</v>
      </c>
      <c r="U225" s="3">
        <v>42043</v>
      </c>
      <c r="V225" s="4">
        <v>-2531.4825000000001</v>
      </c>
      <c r="W225">
        <v>1</v>
      </c>
      <c r="X225">
        <v>919.09</v>
      </c>
      <c r="Y225" s="7">
        <v>87700</v>
      </c>
    </row>
    <row r="226" spans="1:25" ht="12.75" customHeight="1">
      <c r="A226">
        <v>22355</v>
      </c>
      <c r="B226" t="s">
        <v>25</v>
      </c>
      <c r="C226" s="4">
        <v>0.02</v>
      </c>
      <c r="D226" s="8">
        <v>15.28</v>
      </c>
      <c r="E226" s="4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 s="5">
        <v>0.42</v>
      </c>
      <c r="O226" t="s">
        <v>33</v>
      </c>
      <c r="P226" t="s">
        <v>34</v>
      </c>
      <c r="Q226" t="s">
        <v>533</v>
      </c>
      <c r="R226" t="s">
        <v>534</v>
      </c>
      <c r="S226" s="7">
        <v>89701</v>
      </c>
      <c r="T226" s="3">
        <v>42019</v>
      </c>
      <c r="U226" s="3">
        <v>42020</v>
      </c>
      <c r="V226" s="4">
        <v>163.1574</v>
      </c>
      <c r="W226">
        <v>15</v>
      </c>
      <c r="X226">
        <v>236.46</v>
      </c>
      <c r="Y226" s="7">
        <v>88479</v>
      </c>
    </row>
    <row r="227" spans="1:25" ht="12.75" customHeight="1">
      <c r="A227">
        <v>22356</v>
      </c>
      <c r="B227" t="s">
        <v>25</v>
      </c>
      <c r="C227" s="4">
        <v>0</v>
      </c>
      <c r="D227" s="8">
        <v>85.99</v>
      </c>
      <c r="E227" s="4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 s="5">
        <v>0.37</v>
      </c>
      <c r="O227" t="s">
        <v>33</v>
      </c>
      <c r="P227" t="s">
        <v>34</v>
      </c>
      <c r="Q227" t="s">
        <v>533</v>
      </c>
      <c r="R227" t="s">
        <v>534</v>
      </c>
      <c r="S227" s="7">
        <v>89701</v>
      </c>
      <c r="T227" s="3">
        <v>42019</v>
      </c>
      <c r="U227" s="3">
        <v>42020</v>
      </c>
      <c r="V227" s="4">
        <v>-302.22500000000002</v>
      </c>
      <c r="W227">
        <v>1</v>
      </c>
      <c r="X227">
        <v>73.819999999999993</v>
      </c>
      <c r="Y227" s="7">
        <v>88479</v>
      </c>
    </row>
    <row r="228" spans="1:25" ht="12.75" customHeight="1">
      <c r="A228">
        <v>25351</v>
      </c>
      <c r="B228" t="s">
        <v>37</v>
      </c>
      <c r="C228" s="4">
        <v>0.05</v>
      </c>
      <c r="D228" s="8">
        <v>10.98</v>
      </c>
      <c r="E228" s="4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 s="5">
        <v>0.36</v>
      </c>
      <c r="O228" t="s">
        <v>33</v>
      </c>
      <c r="P228" t="s">
        <v>34</v>
      </c>
      <c r="Q228" t="s">
        <v>533</v>
      </c>
      <c r="R228" t="s">
        <v>534</v>
      </c>
      <c r="S228" s="7">
        <v>89701</v>
      </c>
      <c r="T228" s="3">
        <v>42066</v>
      </c>
      <c r="U228" s="3">
        <v>42068</v>
      </c>
      <c r="V228" s="4">
        <v>90.62</v>
      </c>
      <c r="W228">
        <v>22</v>
      </c>
      <c r="X228">
        <v>243.11</v>
      </c>
      <c r="Y228" s="7">
        <v>88480</v>
      </c>
    </row>
    <row r="229" spans="1:25" ht="12.75" customHeight="1">
      <c r="A229">
        <v>19988</v>
      </c>
      <c r="B229" t="s">
        <v>106</v>
      </c>
      <c r="C229" s="4">
        <v>0.05</v>
      </c>
      <c r="D229" s="8">
        <v>125.99</v>
      </c>
      <c r="E229" s="4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 s="5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 s="7">
        <v>1462</v>
      </c>
      <c r="T229" s="3">
        <v>42177</v>
      </c>
      <c r="U229" s="3">
        <v>42182</v>
      </c>
      <c r="V229" s="4">
        <v>427.11840000000001</v>
      </c>
      <c r="W229">
        <v>9</v>
      </c>
      <c r="X229">
        <v>952.26</v>
      </c>
      <c r="Y229" s="7">
        <v>90695</v>
      </c>
    </row>
    <row r="230" spans="1:25" ht="12.75" customHeight="1">
      <c r="A230">
        <v>25813</v>
      </c>
      <c r="B230" t="s">
        <v>47</v>
      </c>
      <c r="C230" s="4">
        <v>0</v>
      </c>
      <c r="D230" s="8">
        <v>7.59</v>
      </c>
      <c r="E230" s="4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 s="5">
        <v>0.42</v>
      </c>
      <c r="O230" t="s">
        <v>33</v>
      </c>
      <c r="P230" t="s">
        <v>61</v>
      </c>
      <c r="Q230" t="s">
        <v>178</v>
      </c>
      <c r="R230" t="s">
        <v>540</v>
      </c>
      <c r="S230" s="7">
        <v>61801</v>
      </c>
      <c r="T230" s="3">
        <v>42149</v>
      </c>
      <c r="U230" s="3">
        <v>42152</v>
      </c>
      <c r="V230" s="4">
        <v>86.438000000000002</v>
      </c>
      <c r="W230">
        <v>43</v>
      </c>
      <c r="X230">
        <v>355.92</v>
      </c>
      <c r="Y230" s="7">
        <v>88085</v>
      </c>
    </row>
    <row r="231" spans="1:25" ht="12.75" customHeight="1">
      <c r="A231">
        <v>23153</v>
      </c>
      <c r="B231" t="s">
        <v>37</v>
      </c>
      <c r="C231" s="4">
        <v>0.03</v>
      </c>
      <c r="D231" s="8">
        <v>48.04</v>
      </c>
      <c r="E231" s="4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 s="5">
        <v>0.37</v>
      </c>
      <c r="O231" t="s">
        <v>33</v>
      </c>
      <c r="P231" t="s">
        <v>61</v>
      </c>
      <c r="Q231" t="s">
        <v>496</v>
      </c>
      <c r="R231" t="s">
        <v>543</v>
      </c>
      <c r="S231" s="7">
        <v>68701</v>
      </c>
      <c r="T231" s="3">
        <v>42105</v>
      </c>
      <c r="U231" s="3">
        <v>42107</v>
      </c>
      <c r="V231" s="4">
        <v>-4.4599999999999937</v>
      </c>
      <c r="W231">
        <v>2</v>
      </c>
      <c r="X231">
        <v>101.71</v>
      </c>
      <c r="Y231" s="7">
        <v>88083</v>
      </c>
    </row>
    <row r="232" spans="1:25" ht="12.75" customHeight="1">
      <c r="A232">
        <v>23862</v>
      </c>
      <c r="B232" t="s">
        <v>25</v>
      </c>
      <c r="C232" s="4">
        <v>0.09</v>
      </c>
      <c r="D232" s="8">
        <v>200.98</v>
      </c>
      <c r="E232" s="4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 s="5">
        <v>0.75</v>
      </c>
      <c r="O232" t="s">
        <v>33</v>
      </c>
      <c r="P232" t="s">
        <v>61</v>
      </c>
      <c r="Q232" t="s">
        <v>496</v>
      </c>
      <c r="R232" t="s">
        <v>543</v>
      </c>
      <c r="S232" s="7">
        <v>68701</v>
      </c>
      <c r="T232" s="3">
        <v>42178</v>
      </c>
      <c r="U232" s="3">
        <v>42179</v>
      </c>
      <c r="V232" s="4">
        <v>-512.87200000000007</v>
      </c>
      <c r="W232">
        <v>9</v>
      </c>
      <c r="X232">
        <v>1766.68</v>
      </c>
      <c r="Y232" s="7">
        <v>88084</v>
      </c>
    </row>
    <row r="233" spans="1:25" ht="12.75" customHeight="1">
      <c r="A233">
        <v>23863</v>
      </c>
      <c r="B233" t="s">
        <v>25</v>
      </c>
      <c r="C233" s="4">
        <v>0.09</v>
      </c>
      <c r="D233" s="8">
        <v>2.78</v>
      </c>
      <c r="E233" s="4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 s="5">
        <v>0.59</v>
      </c>
      <c r="O233" t="s">
        <v>33</v>
      </c>
      <c r="P233" t="s">
        <v>61</v>
      </c>
      <c r="Q233" t="s">
        <v>496</v>
      </c>
      <c r="R233" t="s">
        <v>543</v>
      </c>
      <c r="S233" s="7">
        <v>68701</v>
      </c>
      <c r="T233" s="3">
        <v>42178</v>
      </c>
      <c r="U233" s="3">
        <v>42179</v>
      </c>
      <c r="V233" s="4">
        <v>-3.7840000000000003</v>
      </c>
      <c r="W233">
        <v>11</v>
      </c>
      <c r="X233">
        <v>29.02</v>
      </c>
      <c r="Y233" s="7">
        <v>88084</v>
      </c>
    </row>
    <row r="234" spans="1:25" ht="12.75" customHeight="1">
      <c r="A234">
        <v>19694</v>
      </c>
      <c r="B234" t="s">
        <v>37</v>
      </c>
      <c r="C234" s="4">
        <v>0.04</v>
      </c>
      <c r="D234" s="8">
        <v>130.97999999999999</v>
      </c>
      <c r="E234" s="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 s="5">
        <v>0.78</v>
      </c>
      <c r="O234" t="s">
        <v>33</v>
      </c>
      <c r="P234" t="s">
        <v>61</v>
      </c>
      <c r="Q234" t="s">
        <v>62</v>
      </c>
      <c r="R234" t="s">
        <v>547</v>
      </c>
      <c r="S234" s="7">
        <v>55113</v>
      </c>
      <c r="T234" s="3">
        <v>42180</v>
      </c>
      <c r="U234" s="3">
        <v>42183</v>
      </c>
      <c r="V234" s="4">
        <v>-82.903999999999996</v>
      </c>
      <c r="W234">
        <v>1</v>
      </c>
      <c r="X234">
        <v>159.51</v>
      </c>
      <c r="Y234" s="7">
        <v>90449</v>
      </c>
    </row>
    <row r="235" spans="1:25" ht="12.75" customHeight="1">
      <c r="A235">
        <v>19695</v>
      </c>
      <c r="B235" t="s">
        <v>37</v>
      </c>
      <c r="C235" s="4">
        <v>0.05</v>
      </c>
      <c r="D235" s="8">
        <v>200.99</v>
      </c>
      <c r="E235" s="4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 s="5">
        <v>0.59</v>
      </c>
      <c r="O235" t="s">
        <v>33</v>
      </c>
      <c r="P235" t="s">
        <v>61</v>
      </c>
      <c r="Q235" t="s">
        <v>62</v>
      </c>
      <c r="R235" t="s">
        <v>547</v>
      </c>
      <c r="S235" s="7">
        <v>55113</v>
      </c>
      <c r="T235" s="3">
        <v>42180</v>
      </c>
      <c r="U235" s="3">
        <v>42180</v>
      </c>
      <c r="V235" s="4">
        <v>1268.8064999999999</v>
      </c>
      <c r="W235">
        <v>11</v>
      </c>
      <c r="X235">
        <v>1838.85</v>
      </c>
      <c r="Y235" s="7">
        <v>90449</v>
      </c>
    </row>
    <row r="236" spans="1:25" ht="12.75" customHeight="1">
      <c r="A236">
        <v>20851</v>
      </c>
      <c r="B236" t="s">
        <v>25</v>
      </c>
      <c r="C236" s="4">
        <v>0.03</v>
      </c>
      <c r="D236" s="8">
        <v>15.99</v>
      </c>
      <c r="E236" s="4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 s="5">
        <v>0.38</v>
      </c>
      <c r="O236" t="s">
        <v>33</v>
      </c>
      <c r="P236" t="s">
        <v>34</v>
      </c>
      <c r="Q236" t="s">
        <v>45</v>
      </c>
      <c r="R236" t="s">
        <v>551</v>
      </c>
      <c r="S236" s="7">
        <v>94024</v>
      </c>
      <c r="T236" s="3">
        <v>42104</v>
      </c>
      <c r="U236" s="3">
        <v>42105</v>
      </c>
      <c r="V236" s="4">
        <v>-53.296199999999999</v>
      </c>
      <c r="W236">
        <v>2</v>
      </c>
      <c r="X236">
        <v>35.479999999999997</v>
      </c>
      <c r="Y236" s="7">
        <v>86010</v>
      </c>
    </row>
    <row r="237" spans="1:25" ht="12.75" customHeight="1">
      <c r="A237">
        <v>21117</v>
      </c>
      <c r="B237" t="s">
        <v>47</v>
      </c>
      <c r="C237" s="4">
        <v>0.04</v>
      </c>
      <c r="D237" s="8">
        <v>37.700000000000003</v>
      </c>
      <c r="E237" s="4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 s="5">
        <v>0.35</v>
      </c>
      <c r="O237" t="s">
        <v>33</v>
      </c>
      <c r="P237" t="s">
        <v>34</v>
      </c>
      <c r="Q237" t="s">
        <v>45</v>
      </c>
      <c r="R237" t="s">
        <v>551</v>
      </c>
      <c r="S237" s="7">
        <v>94024</v>
      </c>
      <c r="T237" s="3">
        <v>42151</v>
      </c>
      <c r="U237" s="3">
        <v>42152</v>
      </c>
      <c r="V237" s="4">
        <v>299.6739</v>
      </c>
      <c r="W237">
        <v>12</v>
      </c>
      <c r="X237">
        <v>434.31</v>
      </c>
      <c r="Y237" s="7">
        <v>86012</v>
      </c>
    </row>
    <row r="238" spans="1:25" ht="12.75" customHeight="1">
      <c r="A238">
        <v>18536</v>
      </c>
      <c r="B238" t="s">
        <v>106</v>
      </c>
      <c r="C238" s="4">
        <v>0.01</v>
      </c>
      <c r="D238" s="8">
        <v>8.8800000000000008</v>
      </c>
      <c r="E238" s="4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 s="5">
        <v>0.35</v>
      </c>
      <c r="O238" t="s">
        <v>33</v>
      </c>
      <c r="P238" t="s">
        <v>34</v>
      </c>
      <c r="Q238" t="s">
        <v>45</v>
      </c>
      <c r="R238" t="s">
        <v>551</v>
      </c>
      <c r="S238" s="7">
        <v>94024</v>
      </c>
      <c r="T238" s="3">
        <v>42009</v>
      </c>
      <c r="U238" s="3">
        <v>42014</v>
      </c>
      <c r="V238" s="4">
        <v>-15.456</v>
      </c>
      <c r="W238">
        <v>2</v>
      </c>
      <c r="X238">
        <v>19.86</v>
      </c>
      <c r="Y238" s="7">
        <v>86013</v>
      </c>
    </row>
    <row r="239" spans="1:25" ht="12.75" customHeight="1">
      <c r="A239">
        <v>18537</v>
      </c>
      <c r="B239" t="s">
        <v>106</v>
      </c>
      <c r="C239" s="4">
        <v>0.06</v>
      </c>
      <c r="D239" s="8">
        <v>2.88</v>
      </c>
      <c r="E239" s="4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 s="5">
        <v>0.36</v>
      </c>
      <c r="O239" t="s">
        <v>33</v>
      </c>
      <c r="P239" t="s">
        <v>34</v>
      </c>
      <c r="Q239" t="s">
        <v>45</v>
      </c>
      <c r="R239" t="s">
        <v>551</v>
      </c>
      <c r="S239" s="7">
        <v>94024</v>
      </c>
      <c r="T239" s="3">
        <v>42009</v>
      </c>
      <c r="U239" s="3">
        <v>42018</v>
      </c>
      <c r="V239" s="4">
        <v>16.049399999999999</v>
      </c>
      <c r="W239">
        <v>8</v>
      </c>
      <c r="X239">
        <v>23.26</v>
      </c>
      <c r="Y239" s="7">
        <v>86013</v>
      </c>
    </row>
    <row r="240" spans="1:25" ht="12.75" customHeight="1">
      <c r="A240">
        <v>21118</v>
      </c>
      <c r="B240" t="s">
        <v>47</v>
      </c>
      <c r="C240" s="4">
        <v>0.01</v>
      </c>
      <c r="D240" s="8">
        <v>55.99</v>
      </c>
      <c r="E240" s="4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 s="5">
        <v>0.83</v>
      </c>
      <c r="O240" t="s">
        <v>33</v>
      </c>
      <c r="P240" t="s">
        <v>34</v>
      </c>
      <c r="Q240" t="s">
        <v>45</v>
      </c>
      <c r="R240" t="s">
        <v>554</v>
      </c>
      <c r="S240" s="7">
        <v>93635</v>
      </c>
      <c r="T240" s="3">
        <v>42151</v>
      </c>
      <c r="U240" s="3">
        <v>42152</v>
      </c>
      <c r="V240" s="4">
        <v>-235.89500000000001</v>
      </c>
      <c r="W240">
        <v>1</v>
      </c>
      <c r="X240">
        <v>51.83</v>
      </c>
      <c r="Y240" s="7">
        <v>86012</v>
      </c>
    </row>
    <row r="241" spans="1:25" ht="12.75" customHeight="1">
      <c r="A241">
        <v>22318</v>
      </c>
      <c r="B241" t="s">
        <v>37</v>
      </c>
      <c r="C241" s="4">
        <v>0.03</v>
      </c>
      <c r="D241" s="8">
        <v>29.34</v>
      </c>
      <c r="E241" s="4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 s="5">
        <v>0.54</v>
      </c>
      <c r="O241" t="s">
        <v>33</v>
      </c>
      <c r="P241" t="s">
        <v>34</v>
      </c>
      <c r="Q241" t="s">
        <v>45</v>
      </c>
      <c r="R241" t="s">
        <v>557</v>
      </c>
      <c r="S241" s="7">
        <v>95032</v>
      </c>
      <c r="T241" s="3">
        <v>42132</v>
      </c>
      <c r="U241" s="3">
        <v>42134</v>
      </c>
      <c r="V241" s="4">
        <v>-41.32</v>
      </c>
      <c r="W241">
        <v>1</v>
      </c>
      <c r="X241">
        <v>32.4</v>
      </c>
      <c r="Y241" s="7">
        <v>86011</v>
      </c>
    </row>
    <row r="242" spans="1:25" ht="12.75" customHeight="1">
      <c r="A242">
        <v>22874</v>
      </c>
      <c r="B242" t="s">
        <v>106</v>
      </c>
      <c r="C242" s="4">
        <v>7.0000000000000007E-2</v>
      </c>
      <c r="D242" s="8">
        <v>16.91</v>
      </c>
      <c r="E242" s="4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 s="5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 s="7">
        <v>8332</v>
      </c>
      <c r="T242" s="3">
        <v>42147</v>
      </c>
      <c r="U242" s="3">
        <v>42154</v>
      </c>
      <c r="V242" s="4">
        <v>7.9000000000000057</v>
      </c>
      <c r="W242">
        <v>31</v>
      </c>
      <c r="X242">
        <v>492.9</v>
      </c>
      <c r="Y242" s="7">
        <v>86014</v>
      </c>
    </row>
    <row r="243" spans="1:25" ht="12.75" customHeight="1">
      <c r="A243">
        <v>18467</v>
      </c>
      <c r="B243" t="s">
        <v>106</v>
      </c>
      <c r="C243" s="4">
        <v>7.0000000000000007E-2</v>
      </c>
      <c r="D243" s="8">
        <v>165.2</v>
      </c>
      <c r="E243" s="4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 s="5">
        <v>0.59</v>
      </c>
      <c r="O243" t="s">
        <v>33</v>
      </c>
      <c r="P243" t="s">
        <v>34</v>
      </c>
      <c r="Q243" t="s">
        <v>45</v>
      </c>
      <c r="R243" t="s">
        <v>563</v>
      </c>
      <c r="S243" s="7">
        <v>90069</v>
      </c>
      <c r="T243" s="3">
        <v>42018</v>
      </c>
      <c r="U243" s="3">
        <v>42020</v>
      </c>
      <c r="V243" s="4">
        <v>521.69000000000005</v>
      </c>
      <c r="W243">
        <v>7</v>
      </c>
      <c r="X243">
        <v>1081.54</v>
      </c>
      <c r="Y243" s="7">
        <v>88061</v>
      </c>
    </row>
    <row r="244" spans="1:25" ht="12.75" customHeight="1">
      <c r="A244">
        <v>22754</v>
      </c>
      <c r="B244" t="s">
        <v>37</v>
      </c>
      <c r="C244" s="4">
        <v>0.08</v>
      </c>
      <c r="D244" s="8">
        <v>297.64</v>
      </c>
      <c r="E244" s="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 s="5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 s="7">
        <v>2019</v>
      </c>
      <c r="T244" s="3">
        <v>42015</v>
      </c>
      <c r="U244" s="3">
        <v>42015</v>
      </c>
      <c r="V244" s="4">
        <v>496.79679999999996</v>
      </c>
      <c r="W244">
        <v>5</v>
      </c>
      <c r="X244">
        <v>1132.8399999999999</v>
      </c>
      <c r="Y244" s="7">
        <v>88060</v>
      </c>
    </row>
    <row r="245" spans="1:25" ht="12.75" customHeight="1">
      <c r="A245">
        <v>22755</v>
      </c>
      <c r="B245" t="s">
        <v>37</v>
      </c>
      <c r="C245" s="4">
        <v>0.02</v>
      </c>
      <c r="D245" s="8">
        <v>12.99</v>
      </c>
      <c r="E245" s="4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 s="5">
        <v>0.73</v>
      </c>
      <c r="O245" t="s">
        <v>33</v>
      </c>
      <c r="P245" t="s">
        <v>53</v>
      </c>
      <c r="Q245" t="s">
        <v>193</v>
      </c>
      <c r="R245" t="s">
        <v>569</v>
      </c>
      <c r="S245" s="7">
        <v>1915</v>
      </c>
      <c r="T245" s="3">
        <v>42015</v>
      </c>
      <c r="U245" s="3">
        <v>42016</v>
      </c>
      <c r="V245" s="4">
        <v>-556.80960000000005</v>
      </c>
      <c r="W245">
        <v>11</v>
      </c>
      <c r="X245">
        <v>143.63</v>
      </c>
      <c r="Y245" s="7">
        <v>88060</v>
      </c>
    </row>
    <row r="246" spans="1:25" ht="12.75" customHeight="1">
      <c r="A246">
        <v>22756</v>
      </c>
      <c r="B246" t="s">
        <v>37</v>
      </c>
      <c r="C246" s="4">
        <v>0.06</v>
      </c>
      <c r="D246" s="8">
        <v>14.42</v>
      </c>
      <c r="E246" s="4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 s="5">
        <v>0.52</v>
      </c>
      <c r="O246" t="s">
        <v>33</v>
      </c>
      <c r="P246" t="s">
        <v>53</v>
      </c>
      <c r="Q246" t="s">
        <v>193</v>
      </c>
      <c r="R246" t="s">
        <v>572</v>
      </c>
      <c r="S246" s="7">
        <v>2341</v>
      </c>
      <c r="T246" s="3">
        <v>42015</v>
      </c>
      <c r="U246" s="3">
        <v>42016</v>
      </c>
      <c r="V246" s="4">
        <v>-27.738800000000001</v>
      </c>
      <c r="W246">
        <v>5</v>
      </c>
      <c r="X246">
        <v>73.040000000000006</v>
      </c>
      <c r="Y246" s="7">
        <v>88060</v>
      </c>
    </row>
    <row r="247" spans="1:25" ht="12.75" customHeight="1">
      <c r="A247">
        <v>22757</v>
      </c>
      <c r="B247" t="s">
        <v>37</v>
      </c>
      <c r="C247" s="4">
        <v>0.05</v>
      </c>
      <c r="D247" s="8">
        <v>4.1399999999999997</v>
      </c>
      <c r="E247" s="4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 s="5">
        <v>0.49</v>
      </c>
      <c r="O247" t="s">
        <v>33</v>
      </c>
      <c r="P247" t="s">
        <v>53</v>
      </c>
      <c r="Q247" t="s">
        <v>54</v>
      </c>
      <c r="R247" t="s">
        <v>574</v>
      </c>
      <c r="S247" s="7">
        <v>7506</v>
      </c>
      <c r="T247" s="3">
        <v>42015</v>
      </c>
      <c r="U247" s="3">
        <v>42017</v>
      </c>
      <c r="V247" s="4">
        <v>-128.68719999999999</v>
      </c>
      <c r="W247">
        <v>7</v>
      </c>
      <c r="X247">
        <v>33.35</v>
      </c>
      <c r="Y247" s="7">
        <v>88060</v>
      </c>
    </row>
    <row r="248" spans="1:25" ht="12.75" customHeight="1">
      <c r="A248">
        <v>22758</v>
      </c>
      <c r="B248" t="s">
        <v>37</v>
      </c>
      <c r="C248" s="4">
        <v>0.03</v>
      </c>
      <c r="D248" s="8">
        <v>11.34</v>
      </c>
      <c r="E248" s="4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 s="5">
        <v>0.36</v>
      </c>
      <c r="O248" t="s">
        <v>33</v>
      </c>
      <c r="P248" t="s">
        <v>53</v>
      </c>
      <c r="Q248" t="s">
        <v>54</v>
      </c>
      <c r="R248" t="s">
        <v>577</v>
      </c>
      <c r="S248" s="7">
        <v>8601</v>
      </c>
      <c r="T248" s="3">
        <v>42015</v>
      </c>
      <c r="U248" s="3">
        <v>42015</v>
      </c>
      <c r="V248" s="4">
        <v>23.2028</v>
      </c>
      <c r="W248">
        <v>5</v>
      </c>
      <c r="X248">
        <v>60.24</v>
      </c>
      <c r="Y248" s="7">
        <v>88060</v>
      </c>
    </row>
    <row r="249" spans="1:25" ht="12.75" customHeight="1">
      <c r="A249">
        <v>462</v>
      </c>
      <c r="B249" t="s">
        <v>37</v>
      </c>
      <c r="C249" s="4">
        <v>7.0000000000000007E-2</v>
      </c>
      <c r="D249" s="8">
        <v>179.99</v>
      </c>
      <c r="E249" s="4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 s="5">
        <v>0.48</v>
      </c>
      <c r="O249" t="s">
        <v>33</v>
      </c>
      <c r="P249" t="s">
        <v>136</v>
      </c>
      <c r="Q249" t="s">
        <v>387</v>
      </c>
      <c r="R249" t="s">
        <v>580</v>
      </c>
      <c r="S249" s="7">
        <v>30318</v>
      </c>
      <c r="T249" s="3">
        <v>42043</v>
      </c>
      <c r="U249" s="3">
        <v>42043</v>
      </c>
      <c r="V249" s="4">
        <v>-568.53510000000006</v>
      </c>
      <c r="W249">
        <v>4</v>
      </c>
      <c r="X249">
        <v>718.03</v>
      </c>
      <c r="Y249" s="7">
        <v>3138</v>
      </c>
    </row>
    <row r="250" spans="1:25" ht="12.75" customHeight="1">
      <c r="A250">
        <v>18462</v>
      </c>
      <c r="B250" t="s">
        <v>37</v>
      </c>
      <c r="C250" s="4">
        <v>7.0000000000000007E-2</v>
      </c>
      <c r="D250" s="8">
        <v>179.99</v>
      </c>
      <c r="E250" s="4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 s="5">
        <v>0.48</v>
      </c>
      <c r="O250" t="s">
        <v>33</v>
      </c>
      <c r="P250" t="s">
        <v>53</v>
      </c>
      <c r="Q250" t="s">
        <v>415</v>
      </c>
      <c r="R250" t="s">
        <v>582</v>
      </c>
      <c r="S250" s="7">
        <v>21133</v>
      </c>
      <c r="T250" s="3">
        <v>42043</v>
      </c>
      <c r="U250" s="3">
        <v>42043</v>
      </c>
      <c r="V250" s="4">
        <v>-427.47</v>
      </c>
      <c r="W250">
        <v>1</v>
      </c>
      <c r="X250">
        <v>179.51</v>
      </c>
      <c r="Y250" s="7">
        <v>88023</v>
      </c>
    </row>
    <row r="251" spans="1:25" ht="12.75" customHeight="1">
      <c r="A251">
        <v>20637</v>
      </c>
      <c r="B251" t="s">
        <v>47</v>
      </c>
      <c r="C251" s="4">
        <v>0.03</v>
      </c>
      <c r="D251" s="8">
        <v>11.97</v>
      </c>
      <c r="E251" s="4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 s="5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 s="7">
        <v>60543</v>
      </c>
      <c r="T251" s="3">
        <v>42031</v>
      </c>
      <c r="U251" s="3">
        <v>42032</v>
      </c>
      <c r="V251" s="4">
        <v>-18.190000000000001</v>
      </c>
      <c r="W251">
        <v>6</v>
      </c>
      <c r="X251">
        <v>73.180000000000007</v>
      </c>
      <c r="Y251" s="7">
        <v>90353</v>
      </c>
    </row>
    <row r="252" spans="1:25" ht="12.75" customHeight="1">
      <c r="A252">
        <v>22864</v>
      </c>
      <c r="B252" t="s">
        <v>37</v>
      </c>
      <c r="C252" s="4">
        <v>0.06</v>
      </c>
      <c r="D252" s="8">
        <v>3.36</v>
      </c>
      <c r="E252" s="4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 s="5">
        <v>0.4</v>
      </c>
      <c r="O252" t="s">
        <v>33</v>
      </c>
      <c r="P252" t="s">
        <v>61</v>
      </c>
      <c r="Q252" t="s">
        <v>178</v>
      </c>
      <c r="R252" t="s">
        <v>585</v>
      </c>
      <c r="S252" s="7">
        <v>60543</v>
      </c>
      <c r="T252" s="3">
        <v>42117</v>
      </c>
      <c r="U252" s="3">
        <v>42118</v>
      </c>
      <c r="V252" s="4">
        <v>-24.057540000000003</v>
      </c>
      <c r="W252">
        <v>2</v>
      </c>
      <c r="X252">
        <v>8.82</v>
      </c>
      <c r="Y252" s="7">
        <v>90354</v>
      </c>
    </row>
    <row r="253" spans="1:25" ht="12.75" customHeight="1">
      <c r="A253">
        <v>22865</v>
      </c>
      <c r="B253" t="s">
        <v>37</v>
      </c>
      <c r="C253" s="4">
        <v>7.0000000000000007E-2</v>
      </c>
      <c r="D253" s="8">
        <v>699.99</v>
      </c>
      <c r="E253" s="4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 s="5">
        <v>0.41</v>
      </c>
      <c r="O253" t="s">
        <v>33</v>
      </c>
      <c r="P253" t="s">
        <v>61</v>
      </c>
      <c r="Q253" t="s">
        <v>178</v>
      </c>
      <c r="R253" t="s">
        <v>585</v>
      </c>
      <c r="S253" s="7">
        <v>60543</v>
      </c>
      <c r="T253" s="3">
        <v>42117</v>
      </c>
      <c r="U253" s="3">
        <v>42119</v>
      </c>
      <c r="V253" s="4">
        <v>2583.5614799999998</v>
      </c>
      <c r="W253">
        <v>9</v>
      </c>
      <c r="X253">
        <v>5976.09</v>
      </c>
      <c r="Y253" s="7">
        <v>90354</v>
      </c>
    </row>
    <row r="254" spans="1:25" ht="12.75" customHeight="1">
      <c r="A254">
        <v>20668</v>
      </c>
      <c r="B254" t="s">
        <v>37</v>
      </c>
      <c r="C254" s="4">
        <v>0.05</v>
      </c>
      <c r="D254" s="8">
        <v>2.88</v>
      </c>
      <c r="E254" s="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 s="5">
        <v>0.36</v>
      </c>
      <c r="O254" t="s">
        <v>33</v>
      </c>
      <c r="P254" t="s">
        <v>34</v>
      </c>
      <c r="Q254" t="s">
        <v>45</v>
      </c>
      <c r="R254" t="s">
        <v>591</v>
      </c>
      <c r="S254" s="7">
        <v>93727</v>
      </c>
      <c r="T254" s="3">
        <v>42081</v>
      </c>
      <c r="U254" s="3">
        <v>42083</v>
      </c>
      <c r="V254" s="4">
        <v>6.0512999999999995</v>
      </c>
      <c r="W254">
        <v>3</v>
      </c>
      <c r="X254">
        <v>8.77</v>
      </c>
      <c r="Y254" s="7">
        <v>91062</v>
      </c>
    </row>
    <row r="255" spans="1:25" ht="12.75" customHeight="1">
      <c r="A255">
        <v>23394</v>
      </c>
      <c r="B255" t="s">
        <v>56</v>
      </c>
      <c r="C255" s="4">
        <v>0.1</v>
      </c>
      <c r="D255" s="8">
        <v>3.36</v>
      </c>
      <c r="E255" s="4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 s="5">
        <v>0.4</v>
      </c>
      <c r="O255" t="s">
        <v>33</v>
      </c>
      <c r="P255" t="s">
        <v>53</v>
      </c>
      <c r="Q255" t="s">
        <v>188</v>
      </c>
      <c r="R255" t="s">
        <v>433</v>
      </c>
      <c r="S255" s="7">
        <v>4073</v>
      </c>
      <c r="T255" s="3">
        <v>42142</v>
      </c>
      <c r="U255" s="3">
        <v>42143</v>
      </c>
      <c r="V255" s="4">
        <v>-67.0565</v>
      </c>
      <c r="W255">
        <v>5</v>
      </c>
      <c r="X255">
        <v>20.87</v>
      </c>
      <c r="Y255" s="7">
        <v>91063</v>
      </c>
    </row>
    <row r="256" spans="1:25" ht="12.75" customHeight="1">
      <c r="A256">
        <v>23395</v>
      </c>
      <c r="B256" t="s">
        <v>56</v>
      </c>
      <c r="C256" s="4">
        <v>7.0000000000000007E-2</v>
      </c>
      <c r="D256" s="8">
        <v>12.28</v>
      </c>
      <c r="E256" s="4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 s="5">
        <v>0.38</v>
      </c>
      <c r="O256" t="s">
        <v>33</v>
      </c>
      <c r="P256" t="s">
        <v>53</v>
      </c>
      <c r="Q256" t="s">
        <v>188</v>
      </c>
      <c r="R256" t="s">
        <v>594</v>
      </c>
      <c r="S256" s="7">
        <v>4106</v>
      </c>
      <c r="T256" s="3">
        <v>42142</v>
      </c>
      <c r="U256" s="3">
        <v>42144</v>
      </c>
      <c r="V256" s="4">
        <v>-7.94</v>
      </c>
      <c r="W256">
        <v>2</v>
      </c>
      <c r="X256">
        <v>25.7</v>
      </c>
      <c r="Y256" s="7">
        <v>91063</v>
      </c>
    </row>
    <row r="257" spans="1:25" ht="12.75" customHeight="1">
      <c r="A257">
        <v>23393</v>
      </c>
      <c r="B257" t="s">
        <v>56</v>
      </c>
      <c r="C257" s="4">
        <v>0.09</v>
      </c>
      <c r="D257" s="8">
        <v>20.99</v>
      </c>
      <c r="E257" s="4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 s="5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 s="7">
        <v>2062</v>
      </c>
      <c r="T257" s="3">
        <v>42142</v>
      </c>
      <c r="U257" s="3">
        <v>42142</v>
      </c>
      <c r="V257" s="4">
        <v>122.292</v>
      </c>
      <c r="W257">
        <v>14</v>
      </c>
      <c r="X257">
        <v>229.57</v>
      </c>
      <c r="Y257" s="7">
        <v>91063</v>
      </c>
    </row>
    <row r="258" spans="1:25" ht="12.75" customHeight="1">
      <c r="A258">
        <v>1147</v>
      </c>
      <c r="B258" t="s">
        <v>56</v>
      </c>
      <c r="C258" s="4">
        <v>0.08</v>
      </c>
      <c r="D258" s="8">
        <v>2.94</v>
      </c>
      <c r="E258" s="4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 s="5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 s="7">
        <v>10154</v>
      </c>
      <c r="T258" s="3">
        <v>42139</v>
      </c>
      <c r="U258" s="3">
        <v>42141</v>
      </c>
      <c r="V258" s="4">
        <v>-2.12</v>
      </c>
      <c r="W258">
        <v>23</v>
      </c>
      <c r="X258">
        <v>66.7</v>
      </c>
      <c r="Y258" s="7">
        <v>8353</v>
      </c>
    </row>
    <row r="259" spans="1:25" ht="12.75" customHeight="1">
      <c r="A259">
        <v>1450</v>
      </c>
      <c r="B259" t="s">
        <v>47</v>
      </c>
      <c r="C259" s="4">
        <v>0.01</v>
      </c>
      <c r="D259" s="8">
        <v>4.9800000000000004</v>
      </c>
      <c r="E259" s="4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 s="5">
        <v>0.36</v>
      </c>
      <c r="O259" t="s">
        <v>33</v>
      </c>
      <c r="P259" t="s">
        <v>53</v>
      </c>
      <c r="Q259" t="s">
        <v>71</v>
      </c>
      <c r="R259" t="s">
        <v>90</v>
      </c>
      <c r="S259" s="7">
        <v>10154</v>
      </c>
      <c r="T259" s="3">
        <v>42045</v>
      </c>
      <c r="U259" s="3">
        <v>42046</v>
      </c>
      <c r="V259" s="4">
        <v>-69.069999999999993</v>
      </c>
      <c r="W259">
        <v>41</v>
      </c>
      <c r="X259">
        <v>217</v>
      </c>
      <c r="Y259" s="7">
        <v>10464</v>
      </c>
    </row>
    <row r="260" spans="1:25" ht="12.75" customHeight="1">
      <c r="A260">
        <v>914</v>
      </c>
      <c r="B260" t="s">
        <v>47</v>
      </c>
      <c r="C260" s="4">
        <v>0.02</v>
      </c>
      <c r="D260" s="8">
        <v>1360.14</v>
      </c>
      <c r="E260" s="4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 s="5">
        <v>0.59</v>
      </c>
      <c r="O260" t="s">
        <v>33</v>
      </c>
      <c r="P260" t="s">
        <v>53</v>
      </c>
      <c r="Q260" t="s">
        <v>71</v>
      </c>
      <c r="R260" t="s">
        <v>90</v>
      </c>
      <c r="S260" s="7">
        <v>10154</v>
      </c>
      <c r="T260" s="3">
        <v>42175</v>
      </c>
      <c r="U260" s="3">
        <v>42177</v>
      </c>
      <c r="V260" s="4">
        <v>2028.12</v>
      </c>
      <c r="W260">
        <v>22</v>
      </c>
      <c r="X260">
        <v>31670.6</v>
      </c>
      <c r="Y260" s="7">
        <v>6562</v>
      </c>
    </row>
    <row r="261" spans="1:25" ht="12.75" customHeight="1">
      <c r="A261">
        <v>6046</v>
      </c>
      <c r="B261" t="s">
        <v>37</v>
      </c>
      <c r="C261" s="4">
        <v>0.02</v>
      </c>
      <c r="D261" s="8">
        <v>9.06</v>
      </c>
      <c r="E261" s="4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 s="5">
        <v>0.4</v>
      </c>
      <c r="O261" t="s">
        <v>33</v>
      </c>
      <c r="P261" t="s">
        <v>53</v>
      </c>
      <c r="Q261" t="s">
        <v>71</v>
      </c>
      <c r="R261" t="s">
        <v>90</v>
      </c>
      <c r="S261" s="7">
        <v>10154</v>
      </c>
      <c r="T261" s="3">
        <v>42175</v>
      </c>
      <c r="U261" s="3">
        <v>42177</v>
      </c>
      <c r="V261" s="4">
        <v>-63.51</v>
      </c>
      <c r="W261">
        <v>24</v>
      </c>
      <c r="X261">
        <v>239.82</v>
      </c>
      <c r="Y261" s="7">
        <v>42852</v>
      </c>
    </row>
    <row r="262" spans="1:25" ht="12.75" customHeight="1">
      <c r="A262">
        <v>18757</v>
      </c>
      <c r="B262" t="s">
        <v>37</v>
      </c>
      <c r="C262" s="4">
        <v>0.02</v>
      </c>
      <c r="D262" s="8">
        <v>6.48</v>
      </c>
      <c r="E262" s="4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 s="5">
        <v>0.37</v>
      </c>
      <c r="O262" t="s">
        <v>33</v>
      </c>
      <c r="P262" t="s">
        <v>34</v>
      </c>
      <c r="Q262" t="s">
        <v>35</v>
      </c>
      <c r="R262" t="s">
        <v>604</v>
      </c>
      <c r="S262" s="7">
        <v>98158</v>
      </c>
      <c r="T262" s="3">
        <v>42024</v>
      </c>
      <c r="U262" s="3">
        <v>42026</v>
      </c>
      <c r="V262" s="4">
        <v>-92.05</v>
      </c>
      <c r="W262">
        <v>10</v>
      </c>
      <c r="X262">
        <v>66.709999999999994</v>
      </c>
      <c r="Y262" s="7">
        <v>88906</v>
      </c>
    </row>
    <row r="263" spans="1:25" ht="12.75" customHeight="1">
      <c r="A263">
        <v>18758</v>
      </c>
      <c r="B263" t="s">
        <v>37</v>
      </c>
      <c r="C263" s="4">
        <v>0.04</v>
      </c>
      <c r="D263" s="8">
        <v>17.149999999999999</v>
      </c>
      <c r="E263" s="4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 s="5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 s="7">
        <v>98158</v>
      </c>
      <c r="T263" s="3">
        <v>42024</v>
      </c>
      <c r="U263" s="3">
        <v>42025</v>
      </c>
      <c r="V263" s="4">
        <v>6.11</v>
      </c>
      <c r="W263">
        <v>5</v>
      </c>
      <c r="X263">
        <v>87.16</v>
      </c>
      <c r="Y263" s="7">
        <v>88906</v>
      </c>
    </row>
    <row r="264" spans="1:25" ht="12.75" customHeight="1">
      <c r="A264">
        <v>19146</v>
      </c>
      <c r="B264" t="s">
        <v>56</v>
      </c>
      <c r="C264" s="4">
        <v>0.06</v>
      </c>
      <c r="D264" s="8">
        <v>8.32</v>
      </c>
      <c r="E264" s="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 s="5">
        <v>0.74</v>
      </c>
      <c r="O264" t="s">
        <v>33</v>
      </c>
      <c r="P264" t="s">
        <v>34</v>
      </c>
      <c r="Q264" t="s">
        <v>35</v>
      </c>
      <c r="R264" t="s">
        <v>209</v>
      </c>
      <c r="S264" s="7">
        <v>98115</v>
      </c>
      <c r="T264" s="3">
        <v>42139</v>
      </c>
      <c r="U264" s="3">
        <v>42141</v>
      </c>
      <c r="V264" s="4">
        <v>-36.630000000000003</v>
      </c>
      <c r="W264">
        <v>12</v>
      </c>
      <c r="X264">
        <v>101.26</v>
      </c>
      <c r="Y264" s="7">
        <v>88905</v>
      </c>
    </row>
    <row r="265" spans="1:25" ht="12.75" customHeight="1">
      <c r="A265">
        <v>19147</v>
      </c>
      <c r="B265" t="s">
        <v>56</v>
      </c>
      <c r="C265" s="4">
        <v>0.08</v>
      </c>
      <c r="D265" s="8">
        <v>2.94</v>
      </c>
      <c r="E265" s="4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 s="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 s="7">
        <v>98115</v>
      </c>
      <c r="T265" s="3">
        <v>42139</v>
      </c>
      <c r="U265" s="3">
        <v>42141</v>
      </c>
      <c r="V265" s="4">
        <v>-2.12</v>
      </c>
      <c r="W265">
        <v>6</v>
      </c>
      <c r="X265">
        <v>17.399999999999999</v>
      </c>
      <c r="Y265" s="7">
        <v>88905</v>
      </c>
    </row>
    <row r="266" spans="1:25" ht="12.75" customHeight="1">
      <c r="A266">
        <v>19450</v>
      </c>
      <c r="B266" t="s">
        <v>47</v>
      </c>
      <c r="C266" s="4">
        <v>0.01</v>
      </c>
      <c r="D266" s="8">
        <v>4.9800000000000004</v>
      </c>
      <c r="E266" s="4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 s="5">
        <v>0.36</v>
      </c>
      <c r="O266" t="s">
        <v>33</v>
      </c>
      <c r="P266" t="s">
        <v>34</v>
      </c>
      <c r="Q266" t="s">
        <v>35</v>
      </c>
      <c r="R266" t="s">
        <v>209</v>
      </c>
      <c r="S266" s="7">
        <v>98115</v>
      </c>
      <c r="T266" s="3">
        <v>42045</v>
      </c>
      <c r="U266" s="3">
        <v>42046</v>
      </c>
      <c r="V266" s="4">
        <v>-35.916399999999996</v>
      </c>
      <c r="W266">
        <v>10</v>
      </c>
      <c r="X266">
        <v>52.93</v>
      </c>
      <c r="Y266" s="7">
        <v>88907</v>
      </c>
    </row>
    <row r="267" spans="1:25" ht="12.75" customHeight="1">
      <c r="A267">
        <v>18914</v>
      </c>
      <c r="B267" t="s">
        <v>47</v>
      </c>
      <c r="C267" s="4">
        <v>0.02</v>
      </c>
      <c r="D267" s="8">
        <v>1360.14</v>
      </c>
      <c r="E267" s="4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 s="5">
        <v>0.59</v>
      </c>
      <c r="O267" t="s">
        <v>33</v>
      </c>
      <c r="P267" t="s">
        <v>34</v>
      </c>
      <c r="Q267" t="s">
        <v>35</v>
      </c>
      <c r="R267" t="s">
        <v>209</v>
      </c>
      <c r="S267" s="7">
        <v>98115</v>
      </c>
      <c r="T267" s="3">
        <v>42175</v>
      </c>
      <c r="U267" s="3">
        <v>42177</v>
      </c>
      <c r="V267" s="4">
        <v>3042.18</v>
      </c>
      <c r="W267">
        <v>6</v>
      </c>
      <c r="X267">
        <v>8637.44</v>
      </c>
      <c r="Y267" s="7">
        <v>88908</v>
      </c>
    </row>
    <row r="268" spans="1:25" ht="12.75" customHeight="1">
      <c r="A268">
        <v>24046</v>
      </c>
      <c r="B268" t="s">
        <v>37</v>
      </c>
      <c r="C268" s="4">
        <v>0.02</v>
      </c>
      <c r="D268" s="8">
        <v>9.06</v>
      </c>
      <c r="E268" s="4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 s="5">
        <v>0.4</v>
      </c>
      <c r="O268" t="s">
        <v>33</v>
      </c>
      <c r="P268" t="s">
        <v>34</v>
      </c>
      <c r="Q268" t="s">
        <v>35</v>
      </c>
      <c r="R268" t="s">
        <v>209</v>
      </c>
      <c r="S268" s="7">
        <v>98115</v>
      </c>
      <c r="T268" s="3">
        <v>42175</v>
      </c>
      <c r="U268" s="3">
        <v>42177</v>
      </c>
      <c r="V268" s="4">
        <v>-31.754999999999999</v>
      </c>
      <c r="W268">
        <v>6</v>
      </c>
      <c r="X268">
        <v>59.95</v>
      </c>
      <c r="Y268" s="7">
        <v>88908</v>
      </c>
    </row>
    <row r="269" spans="1:25" ht="12.75" customHeight="1">
      <c r="A269">
        <v>26315</v>
      </c>
      <c r="B269" t="s">
        <v>47</v>
      </c>
      <c r="C269" s="4">
        <v>7.0000000000000007E-2</v>
      </c>
      <c r="D269" s="8">
        <v>152.47999999999999</v>
      </c>
      <c r="E269" s="4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 s="5">
        <v>0.74</v>
      </c>
      <c r="O269" t="s">
        <v>33</v>
      </c>
      <c r="P269" t="s">
        <v>136</v>
      </c>
      <c r="Q269" t="s">
        <v>244</v>
      </c>
      <c r="R269" t="s">
        <v>610</v>
      </c>
      <c r="S269" s="7">
        <v>37130</v>
      </c>
      <c r="T269" s="3">
        <v>42138</v>
      </c>
      <c r="U269" s="3">
        <v>42140</v>
      </c>
      <c r="V269" s="4">
        <v>171.83879999999999</v>
      </c>
      <c r="W269">
        <v>35</v>
      </c>
      <c r="X269">
        <v>5062.49</v>
      </c>
      <c r="Y269" s="7">
        <v>90706</v>
      </c>
    </row>
    <row r="270" spans="1:25" ht="12.75" customHeight="1">
      <c r="A270">
        <v>18303</v>
      </c>
      <c r="B270" t="s">
        <v>47</v>
      </c>
      <c r="C270" s="4">
        <v>0.01</v>
      </c>
      <c r="D270" s="8">
        <v>55.98</v>
      </c>
      <c r="E270" s="4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 s="5">
        <v>0.36</v>
      </c>
      <c r="O270" t="s">
        <v>33</v>
      </c>
      <c r="P270" t="s">
        <v>136</v>
      </c>
      <c r="Q270" t="s">
        <v>613</v>
      </c>
      <c r="R270" t="s">
        <v>614</v>
      </c>
      <c r="S270" s="7">
        <v>42104</v>
      </c>
      <c r="T270" s="3">
        <v>42112</v>
      </c>
      <c r="U270" s="3">
        <v>42114</v>
      </c>
      <c r="V270" s="4">
        <v>32.940899999999999</v>
      </c>
      <c r="W270">
        <v>11</v>
      </c>
      <c r="X270">
        <v>646.97</v>
      </c>
      <c r="Y270" s="7">
        <v>87357</v>
      </c>
    </row>
    <row r="271" spans="1:25" ht="12.75" customHeight="1">
      <c r="A271">
        <v>18304</v>
      </c>
      <c r="B271" t="s">
        <v>47</v>
      </c>
      <c r="C271" s="4">
        <v>0.04</v>
      </c>
      <c r="D271" s="8">
        <v>65.989999999999995</v>
      </c>
      <c r="E271" s="4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 s="5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 s="7">
        <v>42104</v>
      </c>
      <c r="T271" s="3">
        <v>42112</v>
      </c>
      <c r="U271" s="3">
        <v>42113</v>
      </c>
      <c r="V271" s="4">
        <v>131.334</v>
      </c>
      <c r="W271">
        <v>17</v>
      </c>
      <c r="X271">
        <v>946.29</v>
      </c>
      <c r="Y271" s="7">
        <v>87357</v>
      </c>
    </row>
    <row r="272" spans="1:25" ht="12.75" customHeight="1">
      <c r="A272">
        <v>21958</v>
      </c>
      <c r="B272" t="s">
        <v>25</v>
      </c>
      <c r="C272" s="4">
        <v>0.01</v>
      </c>
      <c r="D272" s="8">
        <v>20.98</v>
      </c>
      <c r="E272" s="4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 s="5">
        <v>0.78</v>
      </c>
      <c r="O272" t="s">
        <v>33</v>
      </c>
      <c r="P272" t="s">
        <v>136</v>
      </c>
      <c r="Q272" t="s">
        <v>613</v>
      </c>
      <c r="R272" t="s">
        <v>618</v>
      </c>
      <c r="S272" s="7">
        <v>41011</v>
      </c>
      <c r="T272" s="3">
        <v>42058</v>
      </c>
      <c r="U272" s="3">
        <v>42058</v>
      </c>
      <c r="V272" s="4">
        <v>-282.08179999999999</v>
      </c>
      <c r="W272">
        <v>5</v>
      </c>
      <c r="X272">
        <v>123</v>
      </c>
      <c r="Y272" s="7">
        <v>87356</v>
      </c>
    </row>
    <row r="273" spans="1:25" ht="12.75" customHeight="1">
      <c r="A273">
        <v>18305</v>
      </c>
      <c r="B273" t="s">
        <v>47</v>
      </c>
      <c r="C273" s="4">
        <v>0.01</v>
      </c>
      <c r="D273" s="8">
        <v>128.24</v>
      </c>
      <c r="E273" s="4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 s="7">
        <v>41011</v>
      </c>
      <c r="T273" s="3">
        <v>42112</v>
      </c>
      <c r="U273" s="3">
        <v>42115</v>
      </c>
      <c r="V273" s="4">
        <v>140.1354</v>
      </c>
      <c r="W273">
        <v>4</v>
      </c>
      <c r="X273">
        <v>554.08000000000004</v>
      </c>
      <c r="Y273" s="7">
        <v>87357</v>
      </c>
    </row>
    <row r="274" spans="1:25" ht="12.75" customHeight="1">
      <c r="A274">
        <v>19895</v>
      </c>
      <c r="B274" t="s">
        <v>106</v>
      </c>
      <c r="C274" s="4">
        <v>0.02</v>
      </c>
      <c r="D274" s="8">
        <v>48.04</v>
      </c>
      <c r="E274" s="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 s="5">
        <v>0.37</v>
      </c>
      <c r="O274" t="s">
        <v>33</v>
      </c>
      <c r="P274" t="s">
        <v>34</v>
      </c>
      <c r="Q274" t="s">
        <v>45</v>
      </c>
      <c r="R274" t="s">
        <v>622</v>
      </c>
      <c r="S274" s="7">
        <v>95336</v>
      </c>
      <c r="T274" s="3">
        <v>42017</v>
      </c>
      <c r="U274" s="3">
        <v>42017</v>
      </c>
      <c r="V274" s="4">
        <v>105.25259999999999</v>
      </c>
      <c r="W274">
        <v>3</v>
      </c>
      <c r="X274">
        <v>152.54</v>
      </c>
      <c r="Y274" s="7">
        <v>90058</v>
      </c>
    </row>
    <row r="275" spans="1:25" ht="12.75" customHeight="1">
      <c r="A275">
        <v>20007</v>
      </c>
      <c r="B275" t="s">
        <v>47</v>
      </c>
      <c r="C275" s="4">
        <v>0.03</v>
      </c>
      <c r="D275" s="8">
        <v>6.37</v>
      </c>
      <c r="E275" s="4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 s="5">
        <v>0.38</v>
      </c>
      <c r="O275" t="s">
        <v>33</v>
      </c>
      <c r="P275" t="s">
        <v>34</v>
      </c>
      <c r="Q275" t="s">
        <v>45</v>
      </c>
      <c r="R275" t="s">
        <v>622</v>
      </c>
      <c r="S275" s="7">
        <v>95336</v>
      </c>
      <c r="T275" s="3">
        <v>42036</v>
      </c>
      <c r="U275" s="3">
        <v>42037</v>
      </c>
      <c r="V275" s="4">
        <v>-29.092700000000001</v>
      </c>
      <c r="W275">
        <v>14</v>
      </c>
      <c r="X275">
        <v>89.79</v>
      </c>
      <c r="Y275" s="7">
        <v>90059</v>
      </c>
    </row>
    <row r="276" spans="1:25" ht="12.75" customHeight="1">
      <c r="A276">
        <v>20216</v>
      </c>
      <c r="B276" t="s">
        <v>106</v>
      </c>
      <c r="C276" s="4">
        <v>7.0000000000000007E-2</v>
      </c>
      <c r="D276" s="8">
        <v>12.64</v>
      </c>
      <c r="E276" s="4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 s="5">
        <v>0.48</v>
      </c>
      <c r="O276" t="s">
        <v>33</v>
      </c>
      <c r="P276" t="s">
        <v>61</v>
      </c>
      <c r="Q276" t="s">
        <v>506</v>
      </c>
      <c r="R276" t="s">
        <v>507</v>
      </c>
      <c r="S276" s="7">
        <v>63105</v>
      </c>
      <c r="T276" s="3">
        <v>42160</v>
      </c>
      <c r="U276" s="3">
        <v>42167</v>
      </c>
      <c r="V276" s="4">
        <v>113.41499999999999</v>
      </c>
      <c r="W276">
        <v>16</v>
      </c>
      <c r="X276">
        <v>199.76</v>
      </c>
      <c r="Y276" s="7">
        <v>90867</v>
      </c>
    </row>
    <row r="277" spans="1:25" ht="12.75" customHeight="1">
      <c r="A277">
        <v>23200</v>
      </c>
      <c r="B277" t="s">
        <v>56</v>
      </c>
      <c r="C277" s="4">
        <v>0.02</v>
      </c>
      <c r="D277" s="8">
        <v>150.97999999999999</v>
      </c>
      <c r="E277" s="4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 s="5">
        <v>0.38</v>
      </c>
      <c r="O277" t="s">
        <v>33</v>
      </c>
      <c r="P277" t="s">
        <v>34</v>
      </c>
      <c r="Q277" t="s">
        <v>102</v>
      </c>
      <c r="R277" t="s">
        <v>116</v>
      </c>
      <c r="S277" s="7">
        <v>97756</v>
      </c>
      <c r="T277" s="3">
        <v>42177</v>
      </c>
      <c r="U277" s="3">
        <v>42179</v>
      </c>
      <c r="V277" s="4">
        <v>26.099999999999998</v>
      </c>
      <c r="W277">
        <v>3</v>
      </c>
      <c r="X277">
        <v>480.37</v>
      </c>
      <c r="Y277" s="7">
        <v>89327</v>
      </c>
    </row>
    <row r="278" spans="1:25" ht="12.75" customHeight="1">
      <c r="A278">
        <v>23201</v>
      </c>
      <c r="B278" t="s">
        <v>56</v>
      </c>
      <c r="C278" s="4">
        <v>0.1</v>
      </c>
      <c r="D278" s="8">
        <v>5.43</v>
      </c>
      <c r="E278" s="4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 s="5">
        <v>0.36</v>
      </c>
      <c r="O278" t="s">
        <v>33</v>
      </c>
      <c r="P278" t="s">
        <v>34</v>
      </c>
      <c r="Q278" t="s">
        <v>102</v>
      </c>
      <c r="R278" t="s">
        <v>116</v>
      </c>
      <c r="S278" s="7">
        <v>97756</v>
      </c>
      <c r="T278" s="3">
        <v>42177</v>
      </c>
      <c r="U278" s="3">
        <v>42179</v>
      </c>
      <c r="V278" s="4">
        <v>-2.58</v>
      </c>
      <c r="W278">
        <v>1</v>
      </c>
      <c r="X278">
        <v>5.76</v>
      </c>
      <c r="Y278" s="7">
        <v>89327</v>
      </c>
    </row>
    <row r="279" spans="1:25" ht="12.75" customHeight="1">
      <c r="A279">
        <v>23202</v>
      </c>
      <c r="B279" t="s">
        <v>56</v>
      </c>
      <c r="C279" s="4">
        <v>0.01</v>
      </c>
      <c r="D279" s="8">
        <v>179.29</v>
      </c>
      <c r="E279" s="4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 s="5">
        <v>0.74</v>
      </c>
      <c r="O279" t="s">
        <v>33</v>
      </c>
      <c r="P279" t="s">
        <v>34</v>
      </c>
      <c r="Q279" t="s">
        <v>102</v>
      </c>
      <c r="R279" t="s">
        <v>116</v>
      </c>
      <c r="S279" s="7">
        <v>97756</v>
      </c>
      <c r="T279" s="3">
        <v>42177</v>
      </c>
      <c r="U279" s="3">
        <v>42178</v>
      </c>
      <c r="V279" s="4">
        <v>2800.12</v>
      </c>
      <c r="W279">
        <v>21</v>
      </c>
      <c r="X279">
        <v>3112.13</v>
      </c>
      <c r="Y279" s="7">
        <v>89327</v>
      </c>
    </row>
    <row r="280" spans="1:25" ht="12.75" customHeight="1">
      <c r="A280">
        <v>21517</v>
      </c>
      <c r="B280" t="s">
        <v>37</v>
      </c>
      <c r="C280" s="4">
        <v>0.03</v>
      </c>
      <c r="D280" s="8">
        <v>1270.99</v>
      </c>
      <c r="E280" s="4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 s="5">
        <v>0.35</v>
      </c>
      <c r="O280" t="s">
        <v>33</v>
      </c>
      <c r="P280" t="s">
        <v>136</v>
      </c>
      <c r="Q280" t="s">
        <v>244</v>
      </c>
      <c r="R280" t="s">
        <v>632</v>
      </c>
      <c r="S280" s="7">
        <v>37922</v>
      </c>
      <c r="T280" s="3">
        <v>42024</v>
      </c>
      <c r="U280" s="3">
        <v>42026</v>
      </c>
      <c r="V280" s="4">
        <v>363.55199999999996</v>
      </c>
      <c r="W280">
        <v>2</v>
      </c>
      <c r="X280">
        <v>2589.0100000000002</v>
      </c>
      <c r="Y280" s="7">
        <v>91127</v>
      </c>
    </row>
    <row r="281" spans="1:25" ht="12.75" customHeight="1">
      <c r="A281">
        <v>21518</v>
      </c>
      <c r="B281" t="s">
        <v>37</v>
      </c>
      <c r="C281" s="4">
        <v>7.0000000000000007E-2</v>
      </c>
      <c r="D281" s="8">
        <v>2036.48</v>
      </c>
      <c r="E281" s="4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 s="5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 s="7">
        <v>37922</v>
      </c>
      <c r="T281" s="3">
        <v>42024</v>
      </c>
      <c r="U281" s="3">
        <v>42026</v>
      </c>
      <c r="V281" s="4">
        <v>-11.536000000000001</v>
      </c>
      <c r="W281">
        <v>1</v>
      </c>
      <c r="X281">
        <v>1893.93</v>
      </c>
      <c r="Y281" s="7">
        <v>91127</v>
      </c>
    </row>
    <row r="282" spans="1:25">
      <c r="A282">
        <v>22176</v>
      </c>
      <c r="B282" t="s">
        <v>25</v>
      </c>
      <c r="C282" s="4">
        <v>0.09</v>
      </c>
      <c r="D282" s="8">
        <v>17.98</v>
      </c>
      <c r="E282" s="4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 s="5">
        <v>0.4</v>
      </c>
      <c r="O282" t="s">
        <v>33</v>
      </c>
      <c r="P282" t="s">
        <v>34</v>
      </c>
      <c r="Q282" t="s">
        <v>378</v>
      </c>
      <c r="R282" t="s">
        <v>635</v>
      </c>
      <c r="S282" s="7">
        <v>85204</v>
      </c>
      <c r="T282" s="3">
        <v>42149</v>
      </c>
      <c r="U282" s="3">
        <v>42151</v>
      </c>
      <c r="V282" s="4">
        <v>-6.6120000000000108</v>
      </c>
      <c r="W282">
        <v>12</v>
      </c>
      <c r="X282">
        <v>211.13</v>
      </c>
      <c r="Y282" s="7">
        <v>90026</v>
      </c>
    </row>
    <row r="283" spans="1:25">
      <c r="A283">
        <v>20494</v>
      </c>
      <c r="B283" t="s">
        <v>37</v>
      </c>
      <c r="C283" s="4">
        <v>0</v>
      </c>
      <c r="D283" s="8">
        <v>1.88</v>
      </c>
      <c r="E283" s="4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 s="5">
        <v>0.37</v>
      </c>
      <c r="O283" t="s">
        <v>33</v>
      </c>
      <c r="P283" t="s">
        <v>34</v>
      </c>
      <c r="Q283" t="s">
        <v>378</v>
      </c>
      <c r="R283" t="s">
        <v>635</v>
      </c>
      <c r="S283" s="7">
        <v>85204</v>
      </c>
      <c r="T283" s="3">
        <v>42021</v>
      </c>
      <c r="U283" s="3">
        <v>42022</v>
      </c>
      <c r="V283" s="4">
        <v>-15.5595</v>
      </c>
      <c r="W283">
        <v>13</v>
      </c>
      <c r="X283">
        <v>25.39</v>
      </c>
      <c r="Y283" s="7">
        <v>90027</v>
      </c>
    </row>
    <row r="284" spans="1:25">
      <c r="A284">
        <v>20495</v>
      </c>
      <c r="B284" t="s">
        <v>37</v>
      </c>
      <c r="C284" s="4">
        <v>0.06</v>
      </c>
      <c r="D284" s="8">
        <v>5.78</v>
      </c>
      <c r="E284" s="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 s="5">
        <v>0.36</v>
      </c>
      <c r="O284" t="s">
        <v>33</v>
      </c>
      <c r="P284" t="s">
        <v>34</v>
      </c>
      <c r="Q284" t="s">
        <v>378</v>
      </c>
      <c r="R284" t="s">
        <v>635</v>
      </c>
      <c r="S284" s="7">
        <v>85204</v>
      </c>
      <c r="T284" s="3">
        <v>42021</v>
      </c>
      <c r="U284" s="3">
        <v>42022</v>
      </c>
      <c r="V284" s="4">
        <v>-108.19</v>
      </c>
      <c r="W284">
        <v>15</v>
      </c>
      <c r="X284">
        <v>87.27</v>
      </c>
      <c r="Y284" s="7">
        <v>90027</v>
      </c>
    </row>
    <row r="285" spans="1:25" ht="12.75" customHeight="1">
      <c r="A285">
        <v>26210</v>
      </c>
      <c r="B285" t="s">
        <v>106</v>
      </c>
      <c r="C285" s="4">
        <v>0</v>
      </c>
      <c r="D285" s="8">
        <v>15.99</v>
      </c>
      <c r="E285" s="4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 s="5">
        <v>0.37</v>
      </c>
      <c r="O285" t="s">
        <v>33</v>
      </c>
      <c r="P285" t="s">
        <v>136</v>
      </c>
      <c r="Q285" t="s">
        <v>137</v>
      </c>
      <c r="R285" t="s">
        <v>639</v>
      </c>
      <c r="S285" s="7">
        <v>22025</v>
      </c>
      <c r="T285" s="3">
        <v>42115</v>
      </c>
      <c r="U285" s="3">
        <v>42119</v>
      </c>
      <c r="V285" s="4">
        <v>46.488</v>
      </c>
      <c r="W285">
        <v>23</v>
      </c>
      <c r="X285">
        <v>403.25</v>
      </c>
      <c r="Y285" s="7">
        <v>88511</v>
      </c>
    </row>
    <row r="286" spans="1:25" ht="12.75" customHeight="1">
      <c r="A286">
        <v>20811</v>
      </c>
      <c r="B286" t="s">
        <v>56</v>
      </c>
      <c r="C286" s="4">
        <v>0.05</v>
      </c>
      <c r="D286" s="8">
        <v>59.78</v>
      </c>
      <c r="E286" s="4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 s="5">
        <v>0.39</v>
      </c>
      <c r="O286" t="s">
        <v>33</v>
      </c>
      <c r="P286" t="s">
        <v>61</v>
      </c>
      <c r="Q286" t="s">
        <v>178</v>
      </c>
      <c r="R286" t="s">
        <v>540</v>
      </c>
      <c r="S286" s="7">
        <v>61801</v>
      </c>
      <c r="T286" s="3">
        <v>42138</v>
      </c>
      <c r="U286" s="3">
        <v>42139</v>
      </c>
      <c r="V286" s="4">
        <v>159.52970000000005</v>
      </c>
      <c r="W286">
        <v>7</v>
      </c>
      <c r="X286">
        <v>414.49</v>
      </c>
      <c r="Y286" s="7">
        <v>91174</v>
      </c>
    </row>
    <row r="287" spans="1:25" ht="12.75" customHeight="1">
      <c r="A287">
        <v>20812</v>
      </c>
      <c r="B287" t="s">
        <v>56</v>
      </c>
      <c r="C287" s="4">
        <v>0.08</v>
      </c>
      <c r="D287" s="8">
        <v>20.99</v>
      </c>
      <c r="E287" s="4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 s="5">
        <v>0.83</v>
      </c>
      <c r="O287" t="s">
        <v>33</v>
      </c>
      <c r="P287" t="s">
        <v>61</v>
      </c>
      <c r="Q287" t="s">
        <v>178</v>
      </c>
      <c r="R287" t="s">
        <v>644</v>
      </c>
      <c r="S287" s="7">
        <v>60061</v>
      </c>
      <c r="T287" s="3">
        <v>42138</v>
      </c>
      <c r="U287" s="3">
        <v>42140</v>
      </c>
      <c r="V287" s="4">
        <v>15.371400000000008</v>
      </c>
      <c r="W287">
        <v>28</v>
      </c>
      <c r="X287">
        <v>469.69</v>
      </c>
      <c r="Y287" s="7">
        <v>91174</v>
      </c>
    </row>
    <row r="288" spans="1:25" ht="12.75" customHeight="1">
      <c r="A288">
        <v>24783</v>
      </c>
      <c r="B288" t="s">
        <v>56</v>
      </c>
      <c r="C288" s="4">
        <v>0.05</v>
      </c>
      <c r="D288" s="8">
        <v>204.1</v>
      </c>
      <c r="E288" s="4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 s="5">
        <v>0.37</v>
      </c>
      <c r="O288" t="s">
        <v>33</v>
      </c>
      <c r="P288" t="s">
        <v>61</v>
      </c>
      <c r="Q288" t="s">
        <v>178</v>
      </c>
      <c r="R288" t="s">
        <v>644</v>
      </c>
      <c r="S288" s="7">
        <v>60061</v>
      </c>
      <c r="T288" s="3">
        <v>42147</v>
      </c>
      <c r="U288" s="3">
        <v>42149</v>
      </c>
      <c r="V288" s="4">
        <v>5924.1122999999998</v>
      </c>
      <c r="W288">
        <v>41</v>
      </c>
      <c r="X288">
        <v>8585.67</v>
      </c>
      <c r="Y288" s="7">
        <v>91175</v>
      </c>
    </row>
    <row r="289" spans="1:25" ht="12.75" customHeight="1">
      <c r="A289">
        <v>23401</v>
      </c>
      <c r="B289" t="s">
        <v>37</v>
      </c>
      <c r="C289" s="4">
        <v>0.03</v>
      </c>
      <c r="D289" s="8">
        <v>13.73</v>
      </c>
      <c r="E289" s="4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 s="5">
        <v>0.54</v>
      </c>
      <c r="O289" t="s">
        <v>33</v>
      </c>
      <c r="P289" t="s">
        <v>53</v>
      </c>
      <c r="Q289" t="s">
        <v>648</v>
      </c>
      <c r="R289" t="s">
        <v>649</v>
      </c>
      <c r="S289" s="7">
        <v>26501</v>
      </c>
      <c r="T289" s="3">
        <v>42169</v>
      </c>
      <c r="U289" s="3">
        <v>42170</v>
      </c>
      <c r="V289" s="4">
        <v>39.585299999999997</v>
      </c>
      <c r="W289">
        <v>4</v>
      </c>
      <c r="X289">
        <v>57.37</v>
      </c>
      <c r="Y289" s="7">
        <v>86250</v>
      </c>
    </row>
    <row r="290" spans="1:25" ht="12.75" customHeight="1">
      <c r="A290">
        <v>25806</v>
      </c>
      <c r="B290" t="s">
        <v>37</v>
      </c>
      <c r="C290" s="4">
        <v>0.02</v>
      </c>
      <c r="D290" s="8">
        <v>7.1</v>
      </c>
      <c r="E290" s="4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 s="5">
        <v>0.39</v>
      </c>
      <c r="O290" t="s">
        <v>33</v>
      </c>
      <c r="P290" t="s">
        <v>34</v>
      </c>
      <c r="Q290" t="s">
        <v>366</v>
      </c>
      <c r="R290" t="s">
        <v>652</v>
      </c>
      <c r="S290" s="7">
        <v>88201</v>
      </c>
      <c r="T290" s="3">
        <v>42024</v>
      </c>
      <c r="U290" s="3">
        <v>42024</v>
      </c>
      <c r="V290" s="4">
        <v>-66.378</v>
      </c>
      <c r="W290">
        <v>9</v>
      </c>
      <c r="X290">
        <v>66.319999999999993</v>
      </c>
      <c r="Y290" s="7">
        <v>90908</v>
      </c>
    </row>
    <row r="291" spans="1:25" ht="12.75" customHeight="1">
      <c r="A291">
        <v>24132</v>
      </c>
      <c r="B291" t="s">
        <v>25</v>
      </c>
      <c r="C291" s="4">
        <v>0.05</v>
      </c>
      <c r="D291" s="8">
        <v>1.68</v>
      </c>
      <c r="E291" s="4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 s="5">
        <v>0.59</v>
      </c>
      <c r="O291" t="s">
        <v>33</v>
      </c>
      <c r="P291" t="s">
        <v>61</v>
      </c>
      <c r="Q291" t="s">
        <v>130</v>
      </c>
      <c r="R291" t="s">
        <v>654</v>
      </c>
      <c r="S291" s="7">
        <v>78155</v>
      </c>
      <c r="T291" s="3">
        <v>42034</v>
      </c>
      <c r="U291" s="3">
        <v>42035</v>
      </c>
      <c r="V291" s="4">
        <v>-33.340000000000003</v>
      </c>
      <c r="W291">
        <v>11</v>
      </c>
      <c r="X291">
        <v>18.75</v>
      </c>
      <c r="Y291" s="7">
        <v>90909</v>
      </c>
    </row>
    <row r="292" spans="1:25" ht="12.75" customHeight="1">
      <c r="A292">
        <v>24133</v>
      </c>
      <c r="B292" t="s">
        <v>25</v>
      </c>
      <c r="C292" s="4">
        <v>0.1</v>
      </c>
      <c r="D292" s="8">
        <v>218.75</v>
      </c>
      <c r="E292" s="4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 s="5">
        <v>0.77</v>
      </c>
      <c r="O292" t="s">
        <v>33</v>
      </c>
      <c r="P292" t="s">
        <v>61</v>
      </c>
      <c r="Q292" t="s">
        <v>130</v>
      </c>
      <c r="R292" t="s">
        <v>654</v>
      </c>
      <c r="S292" s="7">
        <v>78155</v>
      </c>
      <c r="T292" s="3">
        <v>42034</v>
      </c>
      <c r="U292" s="3">
        <v>42036</v>
      </c>
      <c r="V292" s="4">
        <v>-201.27599999999998</v>
      </c>
      <c r="W292">
        <v>1</v>
      </c>
      <c r="X292">
        <v>188.51</v>
      </c>
      <c r="Y292" s="7">
        <v>90909</v>
      </c>
    </row>
    <row r="293" spans="1:25" ht="12.75" customHeight="1">
      <c r="A293">
        <v>23209</v>
      </c>
      <c r="B293" t="s">
        <v>56</v>
      </c>
      <c r="C293" s="4">
        <v>0.06</v>
      </c>
      <c r="D293" s="8">
        <v>549.99</v>
      </c>
      <c r="E293" s="4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 s="5">
        <v>0.35</v>
      </c>
      <c r="O293" t="s">
        <v>33</v>
      </c>
      <c r="P293" t="s">
        <v>61</v>
      </c>
      <c r="Q293" t="s">
        <v>130</v>
      </c>
      <c r="R293" t="s">
        <v>654</v>
      </c>
      <c r="S293" s="7">
        <v>78155</v>
      </c>
      <c r="T293" s="3">
        <v>42167</v>
      </c>
      <c r="U293" s="3">
        <v>42168</v>
      </c>
      <c r="V293" s="4">
        <v>4637.4071999999996</v>
      </c>
      <c r="W293">
        <v>13</v>
      </c>
      <c r="X293">
        <v>6720.88</v>
      </c>
      <c r="Y293" s="7">
        <v>90910</v>
      </c>
    </row>
    <row r="294" spans="1:25" ht="12.75" customHeight="1">
      <c r="A294">
        <v>23210</v>
      </c>
      <c r="B294" t="s">
        <v>56</v>
      </c>
      <c r="C294" s="4">
        <v>0.08</v>
      </c>
      <c r="D294" s="8">
        <v>115.99</v>
      </c>
      <c r="E294" s="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 s="5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 s="7">
        <v>78155</v>
      </c>
      <c r="T294" s="3">
        <v>42167</v>
      </c>
      <c r="U294" s="3">
        <v>42168</v>
      </c>
      <c r="V294" s="4">
        <v>-239.54149999999998</v>
      </c>
      <c r="W294">
        <v>1</v>
      </c>
      <c r="X294">
        <v>102.21</v>
      </c>
      <c r="Y294" s="7">
        <v>90910</v>
      </c>
    </row>
    <row r="295" spans="1:25" ht="12.75" customHeight="1">
      <c r="A295">
        <v>24134</v>
      </c>
      <c r="B295" t="s">
        <v>25</v>
      </c>
      <c r="C295" s="4">
        <v>0</v>
      </c>
      <c r="D295" s="8">
        <v>15.04</v>
      </c>
      <c r="E295" s="4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 s="5">
        <v>0.39</v>
      </c>
      <c r="O295" t="s">
        <v>33</v>
      </c>
      <c r="P295" t="s">
        <v>61</v>
      </c>
      <c r="Q295" t="s">
        <v>130</v>
      </c>
      <c r="R295" t="s">
        <v>660</v>
      </c>
      <c r="S295" s="7">
        <v>75090</v>
      </c>
      <c r="T295" s="3">
        <v>42034</v>
      </c>
      <c r="U295" s="3">
        <v>42036</v>
      </c>
      <c r="V295" s="4">
        <v>21.514199999999999</v>
      </c>
      <c r="W295">
        <v>2</v>
      </c>
      <c r="X295">
        <v>31.18</v>
      </c>
      <c r="Y295" s="7">
        <v>90909</v>
      </c>
    </row>
    <row r="296" spans="1:25" ht="12.75" customHeight="1">
      <c r="A296">
        <v>2368</v>
      </c>
      <c r="B296" t="s">
        <v>56</v>
      </c>
      <c r="C296" s="4">
        <v>0</v>
      </c>
      <c r="D296" s="8">
        <v>6.88</v>
      </c>
      <c r="E296" s="4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 s="5">
        <v>0.39</v>
      </c>
      <c r="O296" t="s">
        <v>33</v>
      </c>
      <c r="P296" t="s">
        <v>34</v>
      </c>
      <c r="Q296" t="s">
        <v>45</v>
      </c>
      <c r="R296" t="s">
        <v>663</v>
      </c>
      <c r="S296" s="7">
        <v>90008</v>
      </c>
      <c r="T296" s="3">
        <v>42032</v>
      </c>
      <c r="U296" s="3">
        <v>42033</v>
      </c>
      <c r="V296" s="4">
        <v>34.068000000000005</v>
      </c>
      <c r="W296">
        <v>36</v>
      </c>
      <c r="X296">
        <v>267.52999999999997</v>
      </c>
      <c r="Y296" s="7">
        <v>17155</v>
      </c>
    </row>
    <row r="297" spans="1:25" ht="12.75" customHeight="1">
      <c r="A297">
        <v>349</v>
      </c>
      <c r="B297" t="s">
        <v>37</v>
      </c>
      <c r="C297" s="4">
        <v>7.0000000000000007E-2</v>
      </c>
      <c r="D297" s="8">
        <v>2036.48</v>
      </c>
      <c r="E297" s="4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 s="5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 s="7">
        <v>90008</v>
      </c>
      <c r="T297" s="3">
        <v>42056</v>
      </c>
      <c r="U297" s="3">
        <v>42056</v>
      </c>
      <c r="V297" s="4">
        <v>4073.25</v>
      </c>
      <c r="W297">
        <v>25</v>
      </c>
      <c r="X297">
        <v>43046.2</v>
      </c>
      <c r="Y297" s="7">
        <v>2433</v>
      </c>
    </row>
    <row r="298" spans="1:25" ht="12.75" customHeight="1">
      <c r="A298">
        <v>1115</v>
      </c>
      <c r="B298" t="s">
        <v>106</v>
      </c>
      <c r="C298" s="4">
        <v>0.01</v>
      </c>
      <c r="D298" s="8">
        <v>4.9800000000000004</v>
      </c>
      <c r="E298" s="4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 s="5">
        <v>0.36</v>
      </c>
      <c r="O298" t="s">
        <v>33</v>
      </c>
      <c r="P298" t="s">
        <v>34</v>
      </c>
      <c r="Q298" t="s">
        <v>45</v>
      </c>
      <c r="R298" t="s">
        <v>663</v>
      </c>
      <c r="S298" s="7">
        <v>90008</v>
      </c>
      <c r="T298" s="3">
        <v>42109</v>
      </c>
      <c r="U298" s="3">
        <v>42118</v>
      </c>
      <c r="V298" s="4">
        <v>-179.59199999999998</v>
      </c>
      <c r="W298">
        <v>63</v>
      </c>
      <c r="X298">
        <v>330.21</v>
      </c>
      <c r="Y298" s="7">
        <v>8165</v>
      </c>
    </row>
    <row r="299" spans="1:25" ht="12.75" customHeight="1">
      <c r="A299">
        <v>64</v>
      </c>
      <c r="B299" t="s">
        <v>56</v>
      </c>
      <c r="C299" s="4">
        <v>0.08</v>
      </c>
      <c r="D299" s="8">
        <v>124.49</v>
      </c>
      <c r="E299" s="4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 s="5">
        <v>0.63</v>
      </c>
      <c r="O299" t="s">
        <v>33</v>
      </c>
      <c r="P299" t="s">
        <v>34</v>
      </c>
      <c r="Q299" t="s">
        <v>45</v>
      </c>
      <c r="R299" t="s">
        <v>663</v>
      </c>
      <c r="S299" s="7">
        <v>90008</v>
      </c>
      <c r="T299" s="3">
        <v>42173</v>
      </c>
      <c r="U299" s="3">
        <v>42174</v>
      </c>
      <c r="V299" s="4">
        <v>-500.38</v>
      </c>
      <c r="W299">
        <v>56</v>
      </c>
      <c r="X299">
        <v>6831.37</v>
      </c>
      <c r="Y299" s="7">
        <v>359</v>
      </c>
    </row>
    <row r="300" spans="1:25" ht="12.75" customHeight="1">
      <c r="A300">
        <v>18349</v>
      </c>
      <c r="B300" t="s">
        <v>37</v>
      </c>
      <c r="C300" s="4">
        <v>7.0000000000000007E-2</v>
      </c>
      <c r="D300" s="8">
        <v>2036.48</v>
      </c>
      <c r="E300" s="4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 s="5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 s="7">
        <v>84062</v>
      </c>
      <c r="T300" s="3">
        <v>42056</v>
      </c>
      <c r="U300" s="3">
        <v>42056</v>
      </c>
      <c r="V300" s="4">
        <v>6028.41</v>
      </c>
      <c r="W300">
        <v>6</v>
      </c>
      <c r="X300">
        <v>10331.09</v>
      </c>
      <c r="Y300" s="7">
        <v>86190</v>
      </c>
    </row>
    <row r="301" spans="1:25" ht="12.75" customHeight="1">
      <c r="A301">
        <v>19115</v>
      </c>
      <c r="B301" t="s">
        <v>106</v>
      </c>
      <c r="C301" s="4">
        <v>0.01</v>
      </c>
      <c r="D301" s="8">
        <v>4.9800000000000004</v>
      </c>
      <c r="E301" s="4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 s="5">
        <v>0.36</v>
      </c>
      <c r="O301" t="s">
        <v>33</v>
      </c>
      <c r="P301" t="s">
        <v>34</v>
      </c>
      <c r="Q301" t="s">
        <v>212</v>
      </c>
      <c r="R301" t="s">
        <v>665</v>
      </c>
      <c r="S301" s="7">
        <v>84062</v>
      </c>
      <c r="T301" s="3">
        <v>42109</v>
      </c>
      <c r="U301" s="3">
        <v>42118</v>
      </c>
      <c r="V301" s="4">
        <v>-161.6328</v>
      </c>
      <c r="W301">
        <v>16</v>
      </c>
      <c r="X301">
        <v>83.86</v>
      </c>
      <c r="Y301" s="7">
        <v>86191</v>
      </c>
    </row>
    <row r="302" spans="1:25" ht="12.75" customHeight="1">
      <c r="A302">
        <v>18064</v>
      </c>
      <c r="B302" t="s">
        <v>56</v>
      </c>
      <c r="C302" s="4">
        <v>0.08</v>
      </c>
      <c r="D302" s="8">
        <v>124.49</v>
      </c>
      <c r="E302" s="4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 s="5">
        <v>0.63</v>
      </c>
      <c r="O302" t="s">
        <v>33</v>
      </c>
      <c r="P302" t="s">
        <v>34</v>
      </c>
      <c r="Q302" t="s">
        <v>212</v>
      </c>
      <c r="R302" t="s">
        <v>665</v>
      </c>
      <c r="S302" s="7">
        <v>84062</v>
      </c>
      <c r="T302" s="3">
        <v>42173</v>
      </c>
      <c r="U302" s="3">
        <v>42174</v>
      </c>
      <c r="V302" s="4">
        <v>-250.19</v>
      </c>
      <c r="W302">
        <v>14</v>
      </c>
      <c r="X302">
        <v>1707.84</v>
      </c>
      <c r="Y302" s="7">
        <v>86192</v>
      </c>
    </row>
    <row r="303" spans="1:25" ht="12.75" customHeight="1">
      <c r="A303">
        <v>20368</v>
      </c>
      <c r="B303" t="s">
        <v>56</v>
      </c>
      <c r="C303" s="4">
        <v>0</v>
      </c>
      <c r="D303" s="8">
        <v>6.88</v>
      </c>
      <c r="E303" s="4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 s="5">
        <v>0.39</v>
      </c>
      <c r="O303" t="s">
        <v>33</v>
      </c>
      <c r="P303" t="s">
        <v>34</v>
      </c>
      <c r="Q303" t="s">
        <v>212</v>
      </c>
      <c r="R303" t="s">
        <v>667</v>
      </c>
      <c r="S303" s="7">
        <v>84604</v>
      </c>
      <c r="T303" s="3">
        <v>42032</v>
      </c>
      <c r="U303" s="3">
        <v>42033</v>
      </c>
      <c r="V303" s="4">
        <v>46.147199999999991</v>
      </c>
      <c r="W303">
        <v>9</v>
      </c>
      <c r="X303">
        <v>66.88</v>
      </c>
      <c r="Y303" s="7">
        <v>86189</v>
      </c>
    </row>
    <row r="304" spans="1:25" ht="12.75" customHeight="1">
      <c r="A304">
        <v>20369</v>
      </c>
      <c r="B304" t="s">
        <v>56</v>
      </c>
      <c r="C304" s="4">
        <v>0.03</v>
      </c>
      <c r="D304" s="8">
        <v>32.479999999999997</v>
      </c>
      <c r="E304" s="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 s="5">
        <v>0.81</v>
      </c>
      <c r="O304" t="s">
        <v>33</v>
      </c>
      <c r="P304" t="s">
        <v>34</v>
      </c>
      <c r="Q304" t="s">
        <v>212</v>
      </c>
      <c r="R304" t="s">
        <v>667</v>
      </c>
      <c r="S304" s="7">
        <v>84604</v>
      </c>
      <c r="T304" s="3">
        <v>42032</v>
      </c>
      <c r="U304" s="3">
        <v>42032</v>
      </c>
      <c r="V304" s="4">
        <v>-1116.3348000000001</v>
      </c>
      <c r="W304">
        <v>8</v>
      </c>
      <c r="X304">
        <v>274.91000000000003</v>
      </c>
      <c r="Y304" s="7">
        <v>86189</v>
      </c>
    </row>
    <row r="305" spans="1:25" ht="12.75" customHeight="1">
      <c r="A305">
        <v>21966</v>
      </c>
      <c r="B305" t="s">
        <v>47</v>
      </c>
      <c r="C305" s="4">
        <v>0.02</v>
      </c>
      <c r="D305" s="8">
        <v>280.98</v>
      </c>
      <c r="E305" s="4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 s="5">
        <v>0.78</v>
      </c>
      <c r="O305" t="s">
        <v>33</v>
      </c>
      <c r="P305" t="s">
        <v>136</v>
      </c>
      <c r="Q305" t="s">
        <v>671</v>
      </c>
      <c r="R305" t="s">
        <v>443</v>
      </c>
      <c r="S305" s="7">
        <v>39701</v>
      </c>
      <c r="T305" s="3">
        <v>42067</v>
      </c>
      <c r="U305" s="3">
        <v>42068</v>
      </c>
      <c r="V305" s="4">
        <v>1141.7939999999999</v>
      </c>
      <c r="W305">
        <v>4</v>
      </c>
      <c r="X305">
        <v>1128.74</v>
      </c>
      <c r="Y305" s="7">
        <v>88879</v>
      </c>
    </row>
    <row r="306" spans="1:25" ht="12.75" customHeight="1">
      <c r="A306">
        <v>22667</v>
      </c>
      <c r="B306" t="s">
        <v>37</v>
      </c>
      <c r="C306" s="4">
        <v>0.09</v>
      </c>
      <c r="D306" s="8">
        <v>70.97</v>
      </c>
      <c r="E306" s="4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 s="5">
        <v>0.59</v>
      </c>
      <c r="O306" t="s">
        <v>33</v>
      </c>
      <c r="P306" t="s">
        <v>136</v>
      </c>
      <c r="Q306" t="s">
        <v>671</v>
      </c>
      <c r="R306" t="s">
        <v>443</v>
      </c>
      <c r="S306" s="7">
        <v>39701</v>
      </c>
      <c r="T306" s="3">
        <v>42109</v>
      </c>
      <c r="U306" s="3">
        <v>42109</v>
      </c>
      <c r="V306" s="4">
        <v>-99.568000000000012</v>
      </c>
      <c r="W306">
        <v>12</v>
      </c>
      <c r="X306">
        <v>805.99</v>
      </c>
      <c r="Y306" s="7">
        <v>88880</v>
      </c>
    </row>
    <row r="307" spans="1:25" ht="12.75" customHeight="1">
      <c r="A307">
        <v>22736</v>
      </c>
      <c r="B307" t="s">
        <v>56</v>
      </c>
      <c r="C307" s="4">
        <v>0.08</v>
      </c>
      <c r="D307" s="8">
        <v>67.28</v>
      </c>
      <c r="E307" s="4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 s="5">
        <v>0.4</v>
      </c>
      <c r="O307" t="s">
        <v>33</v>
      </c>
      <c r="P307" t="s">
        <v>136</v>
      </c>
      <c r="Q307" t="s">
        <v>671</v>
      </c>
      <c r="R307" t="s">
        <v>443</v>
      </c>
      <c r="S307" s="7">
        <v>39701</v>
      </c>
      <c r="T307" s="3">
        <v>42095</v>
      </c>
      <c r="U307" s="3">
        <v>42097</v>
      </c>
      <c r="V307" s="4">
        <v>224.85059999999999</v>
      </c>
      <c r="W307">
        <v>16</v>
      </c>
      <c r="X307">
        <v>1066.54</v>
      </c>
      <c r="Y307" s="7">
        <v>88882</v>
      </c>
    </row>
    <row r="308" spans="1:25" ht="12.75" customHeight="1">
      <c r="A308">
        <v>26038</v>
      </c>
      <c r="B308" t="s">
        <v>106</v>
      </c>
      <c r="C308" s="4">
        <v>0.06</v>
      </c>
      <c r="D308" s="8">
        <v>7.99</v>
      </c>
      <c r="E308" s="4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 s="5">
        <v>0.6</v>
      </c>
      <c r="O308" t="s">
        <v>33</v>
      </c>
      <c r="P308" t="s">
        <v>34</v>
      </c>
      <c r="Q308" t="s">
        <v>533</v>
      </c>
      <c r="R308" t="s">
        <v>675</v>
      </c>
      <c r="S308" s="7">
        <v>89015</v>
      </c>
      <c r="T308" s="3">
        <v>42017</v>
      </c>
      <c r="U308" s="3">
        <v>42017</v>
      </c>
      <c r="V308" s="4">
        <v>-122.13300000000001</v>
      </c>
      <c r="W308">
        <v>10</v>
      </c>
      <c r="X308">
        <v>65.739999999999995</v>
      </c>
      <c r="Y308" s="7">
        <v>88881</v>
      </c>
    </row>
    <row r="309" spans="1:25" ht="12.75" customHeight="1">
      <c r="A309">
        <v>23719</v>
      </c>
      <c r="B309" t="s">
        <v>47</v>
      </c>
      <c r="C309" s="4">
        <v>0.05</v>
      </c>
      <c r="D309" s="8">
        <v>4.13</v>
      </c>
      <c r="E309" s="4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 s="5">
        <v>0.38</v>
      </c>
      <c r="O309" t="s">
        <v>33</v>
      </c>
      <c r="P309" t="s">
        <v>61</v>
      </c>
      <c r="Q309" t="s">
        <v>178</v>
      </c>
      <c r="R309" t="s">
        <v>678</v>
      </c>
      <c r="S309" s="7">
        <v>61554</v>
      </c>
      <c r="T309" s="3">
        <v>42076</v>
      </c>
      <c r="U309" s="3">
        <v>42077</v>
      </c>
      <c r="V309" s="4">
        <v>-12.1555</v>
      </c>
      <c r="W309">
        <v>1</v>
      </c>
      <c r="X309">
        <v>5.84</v>
      </c>
      <c r="Y309" s="7">
        <v>86555</v>
      </c>
    </row>
    <row r="310" spans="1:25" ht="12.75" customHeight="1">
      <c r="A310">
        <v>21992</v>
      </c>
      <c r="B310" t="s">
        <v>25</v>
      </c>
      <c r="C310" s="4">
        <v>0.08</v>
      </c>
      <c r="D310" s="8">
        <v>415.88</v>
      </c>
      <c r="E310" s="4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 s="5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 s="7">
        <v>61554</v>
      </c>
      <c r="T310" s="3">
        <v>42061</v>
      </c>
      <c r="U310" s="3">
        <v>42062</v>
      </c>
      <c r="V310" s="4">
        <v>-269.08440000000002</v>
      </c>
      <c r="W310">
        <v>1</v>
      </c>
      <c r="X310">
        <v>405.57</v>
      </c>
      <c r="Y310" s="7">
        <v>86556</v>
      </c>
    </row>
    <row r="311" spans="1:25" ht="12.75" customHeight="1">
      <c r="A311">
        <v>21325</v>
      </c>
      <c r="B311" t="s">
        <v>106</v>
      </c>
      <c r="C311" s="4">
        <v>0.06</v>
      </c>
      <c r="D311" s="8">
        <v>4.4800000000000004</v>
      </c>
      <c r="E311" s="4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 s="5">
        <v>0.6</v>
      </c>
      <c r="O311" t="s">
        <v>33</v>
      </c>
      <c r="P311" t="s">
        <v>34</v>
      </c>
      <c r="Q311" t="s">
        <v>45</v>
      </c>
      <c r="R311" t="s">
        <v>681</v>
      </c>
      <c r="S311" s="7">
        <v>91767</v>
      </c>
      <c r="T311" s="3">
        <v>42017</v>
      </c>
      <c r="U311" s="3">
        <v>42021</v>
      </c>
      <c r="V311" s="4">
        <v>-566</v>
      </c>
      <c r="W311">
        <v>4</v>
      </c>
      <c r="X311">
        <v>32.6</v>
      </c>
      <c r="Y311" s="7">
        <v>88645</v>
      </c>
    </row>
    <row r="312" spans="1:25" ht="12.75" customHeight="1">
      <c r="A312">
        <v>18664</v>
      </c>
      <c r="B312" t="s">
        <v>56</v>
      </c>
      <c r="C312" s="4">
        <v>0.03</v>
      </c>
      <c r="D312" s="8">
        <v>162.93</v>
      </c>
      <c r="E312" s="4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 s="5">
        <v>0.39</v>
      </c>
      <c r="O312" t="s">
        <v>33</v>
      </c>
      <c r="P312" t="s">
        <v>53</v>
      </c>
      <c r="Q312" t="s">
        <v>228</v>
      </c>
      <c r="R312" t="s">
        <v>684</v>
      </c>
      <c r="S312" s="7">
        <v>6770</v>
      </c>
      <c r="T312" s="3">
        <v>42137</v>
      </c>
      <c r="U312" s="3">
        <v>42138</v>
      </c>
      <c r="V312" s="4">
        <v>293.14</v>
      </c>
      <c r="W312">
        <v>3</v>
      </c>
      <c r="X312">
        <v>515.88</v>
      </c>
      <c r="Y312" s="7">
        <v>88644</v>
      </c>
    </row>
    <row r="313" spans="1:25" ht="12.75" customHeight="1">
      <c r="A313">
        <v>18665</v>
      </c>
      <c r="B313" t="s">
        <v>56</v>
      </c>
      <c r="C313" s="4">
        <v>0.01</v>
      </c>
      <c r="D313" s="8">
        <v>11.58</v>
      </c>
      <c r="E313" s="4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 s="5">
        <v>0.35</v>
      </c>
      <c r="O313" t="s">
        <v>33</v>
      </c>
      <c r="P313" t="s">
        <v>53</v>
      </c>
      <c r="Q313" t="s">
        <v>228</v>
      </c>
      <c r="R313" t="s">
        <v>687</v>
      </c>
      <c r="S313" s="7">
        <v>6478</v>
      </c>
      <c r="T313" s="3">
        <v>42137</v>
      </c>
      <c r="U313" s="3">
        <v>42139</v>
      </c>
      <c r="V313" s="4">
        <v>-6.61</v>
      </c>
      <c r="W313">
        <v>2</v>
      </c>
      <c r="X313">
        <v>25.06</v>
      </c>
      <c r="Y313" s="7">
        <v>88644</v>
      </c>
    </row>
    <row r="314" spans="1:25" ht="12.75" customHeight="1">
      <c r="A314">
        <v>18662</v>
      </c>
      <c r="B314" t="s">
        <v>56</v>
      </c>
      <c r="C314" s="4">
        <v>0.01</v>
      </c>
      <c r="D314" s="8">
        <v>55.99</v>
      </c>
      <c r="E314" s="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 s="5">
        <v>0.8</v>
      </c>
      <c r="O314" t="s">
        <v>33</v>
      </c>
      <c r="P314" t="s">
        <v>53</v>
      </c>
      <c r="Q314" t="s">
        <v>188</v>
      </c>
      <c r="R314" t="s">
        <v>511</v>
      </c>
      <c r="S314" s="7">
        <v>4210</v>
      </c>
      <c r="T314" s="3">
        <v>42137</v>
      </c>
      <c r="U314" s="3">
        <v>42138</v>
      </c>
      <c r="V314" s="4">
        <v>-57.541000000000004</v>
      </c>
      <c r="W314">
        <v>12</v>
      </c>
      <c r="X314">
        <v>578.24</v>
      </c>
      <c r="Y314" s="7">
        <v>88644</v>
      </c>
    </row>
    <row r="315" spans="1:25" ht="12.75" customHeight="1">
      <c r="A315">
        <v>24180</v>
      </c>
      <c r="B315" t="s">
        <v>37</v>
      </c>
      <c r="C315" s="4">
        <v>0.04</v>
      </c>
      <c r="D315" s="8">
        <v>15.51</v>
      </c>
      <c r="E315" s="4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 s="5">
        <v>0.59</v>
      </c>
      <c r="O315" t="s">
        <v>33</v>
      </c>
      <c r="P315" t="s">
        <v>53</v>
      </c>
      <c r="Q315" t="s">
        <v>193</v>
      </c>
      <c r="R315" t="s">
        <v>692</v>
      </c>
      <c r="S315" s="7">
        <v>1801</v>
      </c>
      <c r="T315" s="3">
        <v>42025</v>
      </c>
      <c r="U315" s="3">
        <v>42027</v>
      </c>
      <c r="V315" s="4">
        <v>-266.22000000000003</v>
      </c>
      <c r="W315">
        <v>7</v>
      </c>
      <c r="X315">
        <v>116.93</v>
      </c>
      <c r="Y315" s="7">
        <v>88646</v>
      </c>
    </row>
    <row r="316" spans="1:25" ht="12.75" customHeight="1">
      <c r="A316">
        <v>18663</v>
      </c>
      <c r="B316" t="s">
        <v>56</v>
      </c>
      <c r="C316" s="4">
        <v>0.06</v>
      </c>
      <c r="D316" s="8">
        <v>13.9</v>
      </c>
      <c r="E316" s="4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 s="5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 s="7">
        <v>3301</v>
      </c>
      <c r="T316" s="3">
        <v>42137</v>
      </c>
      <c r="U316" s="3">
        <v>42138</v>
      </c>
      <c r="V316" s="4">
        <v>-67.59</v>
      </c>
      <c r="W316">
        <v>12</v>
      </c>
      <c r="X316">
        <v>170.45</v>
      </c>
      <c r="Y316" s="7">
        <v>88644</v>
      </c>
    </row>
    <row r="317" spans="1:25" ht="12.75" customHeight="1">
      <c r="A317">
        <v>19781</v>
      </c>
      <c r="B317" t="s">
        <v>47</v>
      </c>
      <c r="C317" s="4">
        <v>0.08</v>
      </c>
      <c r="D317" s="8">
        <v>30.53</v>
      </c>
      <c r="E317" s="4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 s="5">
        <v>0.39</v>
      </c>
      <c r="O317" t="s">
        <v>33</v>
      </c>
      <c r="P317" t="s">
        <v>61</v>
      </c>
      <c r="Q317" t="s">
        <v>178</v>
      </c>
      <c r="R317" t="s">
        <v>698</v>
      </c>
      <c r="S317" s="7">
        <v>60091</v>
      </c>
      <c r="T317" s="3">
        <v>42021</v>
      </c>
      <c r="U317" s="3">
        <v>42021</v>
      </c>
      <c r="V317" s="4">
        <v>-239.8656</v>
      </c>
      <c r="W317">
        <v>10</v>
      </c>
      <c r="X317">
        <v>285.87</v>
      </c>
      <c r="Y317" s="7">
        <v>86307</v>
      </c>
    </row>
    <row r="318" spans="1:25" ht="12.75" customHeight="1">
      <c r="A318">
        <v>19782</v>
      </c>
      <c r="B318" t="s">
        <v>47</v>
      </c>
      <c r="C318" s="4">
        <v>0.01</v>
      </c>
      <c r="D318" s="8">
        <v>1.68</v>
      </c>
      <c r="E318" s="4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 s="5">
        <v>0.59</v>
      </c>
      <c r="O318" t="s">
        <v>33</v>
      </c>
      <c r="P318" t="s">
        <v>61</v>
      </c>
      <c r="Q318" t="s">
        <v>178</v>
      </c>
      <c r="R318" t="s">
        <v>700</v>
      </c>
      <c r="S318" s="7">
        <v>60517</v>
      </c>
      <c r="T318" s="3">
        <v>42021</v>
      </c>
      <c r="U318" s="3">
        <v>42023</v>
      </c>
      <c r="V318" s="4">
        <v>-53.444000000000003</v>
      </c>
      <c r="W318">
        <v>12</v>
      </c>
      <c r="X318">
        <v>20.37</v>
      </c>
      <c r="Y318" s="7">
        <v>86307</v>
      </c>
    </row>
    <row r="319" spans="1:25" ht="12.75" customHeight="1">
      <c r="A319">
        <v>22996</v>
      </c>
      <c r="B319" t="s">
        <v>47</v>
      </c>
      <c r="C319" s="4">
        <v>0.09</v>
      </c>
      <c r="D319" s="8">
        <v>13.79</v>
      </c>
      <c r="E319" s="4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 s="5">
        <v>0.43</v>
      </c>
      <c r="O319" t="s">
        <v>33</v>
      </c>
      <c r="P319" t="s">
        <v>61</v>
      </c>
      <c r="Q319" t="s">
        <v>703</v>
      </c>
      <c r="R319" t="s">
        <v>704</v>
      </c>
      <c r="S319" s="7">
        <v>46016</v>
      </c>
      <c r="T319" s="3">
        <v>42078</v>
      </c>
      <c r="U319" s="3">
        <v>42080</v>
      </c>
      <c r="V319" s="4">
        <v>-22.12</v>
      </c>
      <c r="W319">
        <v>1</v>
      </c>
      <c r="X319">
        <v>17.440000000000001</v>
      </c>
      <c r="Y319" s="7">
        <v>86309</v>
      </c>
    </row>
    <row r="320" spans="1:25" ht="12.75" customHeight="1">
      <c r="A320">
        <v>21662</v>
      </c>
      <c r="B320" t="s">
        <v>47</v>
      </c>
      <c r="C320" s="4">
        <v>0.04</v>
      </c>
      <c r="D320" s="8">
        <v>39.479999999999997</v>
      </c>
      <c r="E320" s="4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 s="5">
        <v>0.54</v>
      </c>
      <c r="O320" t="s">
        <v>33</v>
      </c>
      <c r="P320" t="s">
        <v>61</v>
      </c>
      <c r="Q320" t="s">
        <v>703</v>
      </c>
      <c r="R320" t="s">
        <v>704</v>
      </c>
      <c r="S320" s="7">
        <v>46016</v>
      </c>
      <c r="T320" s="3">
        <v>42174</v>
      </c>
      <c r="U320" s="3">
        <v>42177</v>
      </c>
      <c r="V320" s="4">
        <v>484.84919999999994</v>
      </c>
      <c r="W320">
        <v>18</v>
      </c>
      <c r="X320">
        <v>702.68</v>
      </c>
      <c r="Y320" s="7">
        <v>86311</v>
      </c>
    </row>
    <row r="321" spans="1:25" ht="12.75" customHeight="1">
      <c r="A321">
        <v>21663</v>
      </c>
      <c r="B321" t="s">
        <v>47</v>
      </c>
      <c r="C321" s="4">
        <v>0.04</v>
      </c>
      <c r="D321" s="8">
        <v>3.7</v>
      </c>
      <c r="E321" s="4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 s="5">
        <v>0.44</v>
      </c>
      <c r="O321" t="s">
        <v>33</v>
      </c>
      <c r="P321" t="s">
        <v>61</v>
      </c>
      <c r="Q321" t="s">
        <v>703</v>
      </c>
      <c r="R321" t="s">
        <v>704</v>
      </c>
      <c r="S321" s="7">
        <v>46016</v>
      </c>
      <c r="T321" s="3">
        <v>42174</v>
      </c>
      <c r="U321" s="3">
        <v>42175</v>
      </c>
      <c r="V321" s="4">
        <v>18</v>
      </c>
      <c r="W321">
        <v>18</v>
      </c>
      <c r="X321">
        <v>67.239999999999995</v>
      </c>
      <c r="Y321" s="7">
        <v>86311</v>
      </c>
    </row>
    <row r="322" spans="1:25" ht="12.75" customHeight="1">
      <c r="A322">
        <v>24480</v>
      </c>
      <c r="B322" t="s">
        <v>47</v>
      </c>
      <c r="C322" s="4">
        <v>0.03</v>
      </c>
      <c r="D322" s="8">
        <v>3.8</v>
      </c>
      <c r="E322" s="4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 s="5">
        <v>0.38</v>
      </c>
      <c r="O322" t="s">
        <v>33</v>
      </c>
      <c r="P322" t="s">
        <v>61</v>
      </c>
      <c r="Q322" t="s">
        <v>703</v>
      </c>
      <c r="R322" t="s">
        <v>708</v>
      </c>
      <c r="S322" s="7">
        <v>46032</v>
      </c>
      <c r="T322" s="3">
        <v>42050</v>
      </c>
      <c r="U322" s="3">
        <v>42052</v>
      </c>
      <c r="V322" s="4">
        <v>15.2745</v>
      </c>
      <c r="W322">
        <v>6</v>
      </c>
      <c r="X322">
        <v>24.27</v>
      </c>
      <c r="Y322" s="7">
        <v>86308</v>
      </c>
    </row>
    <row r="323" spans="1:25" ht="12.75" customHeight="1">
      <c r="A323">
        <v>24481</v>
      </c>
      <c r="B323" t="s">
        <v>47</v>
      </c>
      <c r="C323" s="4">
        <v>7.0000000000000007E-2</v>
      </c>
      <c r="D323" s="8">
        <v>7.98</v>
      </c>
      <c r="E323" s="4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 s="5">
        <v>0.35</v>
      </c>
      <c r="O323" t="s">
        <v>33</v>
      </c>
      <c r="P323" t="s">
        <v>61</v>
      </c>
      <c r="Q323" t="s">
        <v>703</v>
      </c>
      <c r="R323" t="s">
        <v>708</v>
      </c>
      <c r="S323" s="7">
        <v>46032</v>
      </c>
      <c r="T323" s="3">
        <v>42050</v>
      </c>
      <c r="U323" s="3">
        <v>42052</v>
      </c>
      <c r="V323" s="4">
        <v>26.585699999999999</v>
      </c>
      <c r="W323">
        <v>5</v>
      </c>
      <c r="X323">
        <v>38.53</v>
      </c>
      <c r="Y323" s="7">
        <v>86308</v>
      </c>
    </row>
    <row r="324" spans="1:25" ht="12.75" customHeight="1">
      <c r="A324">
        <v>24482</v>
      </c>
      <c r="B324" t="s">
        <v>47</v>
      </c>
      <c r="C324" s="4">
        <v>7.0000000000000007E-2</v>
      </c>
      <c r="D324" s="8">
        <v>417.4</v>
      </c>
      <c r="E324" s="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 s="5">
        <v>0.79</v>
      </c>
      <c r="O324" t="s">
        <v>33</v>
      </c>
      <c r="P324" t="s">
        <v>61</v>
      </c>
      <c r="Q324" t="s">
        <v>703</v>
      </c>
      <c r="R324" t="s">
        <v>708</v>
      </c>
      <c r="S324" s="7">
        <v>46032</v>
      </c>
      <c r="T324" s="3">
        <v>42050</v>
      </c>
      <c r="U324" s="3">
        <v>42051</v>
      </c>
      <c r="V324" s="4">
        <v>-575.35199999999998</v>
      </c>
      <c r="W324">
        <v>12</v>
      </c>
      <c r="X324">
        <v>4910.72</v>
      </c>
      <c r="Y324" s="7">
        <v>86308</v>
      </c>
    </row>
    <row r="325" spans="1:25" ht="12.75" customHeight="1">
      <c r="A325">
        <v>25949</v>
      </c>
      <c r="B325" t="s">
        <v>37</v>
      </c>
      <c r="C325" s="4">
        <v>0.1</v>
      </c>
      <c r="D325" s="8">
        <v>6.48</v>
      </c>
      <c r="E325" s="4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 s="5">
        <v>0.37</v>
      </c>
      <c r="O325" t="s">
        <v>33</v>
      </c>
      <c r="P325" t="s">
        <v>61</v>
      </c>
      <c r="Q325" t="s">
        <v>703</v>
      </c>
      <c r="R325" t="s">
        <v>443</v>
      </c>
      <c r="S325" s="7">
        <v>47201</v>
      </c>
      <c r="T325" s="3">
        <v>42165</v>
      </c>
      <c r="U325" s="3">
        <v>42165</v>
      </c>
      <c r="V325" s="4">
        <v>-51.634999999999998</v>
      </c>
      <c r="W325">
        <v>19</v>
      </c>
      <c r="X325">
        <v>116.8</v>
      </c>
      <c r="Y325" s="7">
        <v>86310</v>
      </c>
    </row>
    <row r="326" spans="1:25" ht="12.75" customHeight="1">
      <c r="A326">
        <v>21274</v>
      </c>
      <c r="B326" t="s">
        <v>56</v>
      </c>
      <c r="C326" s="4">
        <v>0.06</v>
      </c>
      <c r="D326" s="8">
        <v>6.48</v>
      </c>
      <c r="E326" s="4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 s="5">
        <v>0.37</v>
      </c>
      <c r="O326" t="s">
        <v>33</v>
      </c>
      <c r="P326" t="s">
        <v>53</v>
      </c>
      <c r="Q326" t="s">
        <v>415</v>
      </c>
      <c r="R326" t="s">
        <v>715</v>
      </c>
      <c r="S326" s="7">
        <v>21136</v>
      </c>
      <c r="T326" s="3">
        <v>42076</v>
      </c>
      <c r="U326" s="3">
        <v>42077</v>
      </c>
      <c r="V326" s="4">
        <v>-75.44</v>
      </c>
      <c r="W326">
        <v>5</v>
      </c>
      <c r="X326">
        <v>32.39</v>
      </c>
      <c r="Y326" s="7">
        <v>87579</v>
      </c>
    </row>
    <row r="327" spans="1:25" ht="12.75" customHeight="1">
      <c r="A327">
        <v>20929</v>
      </c>
      <c r="B327" t="s">
        <v>37</v>
      </c>
      <c r="C327" s="4">
        <v>0.02</v>
      </c>
      <c r="D327" s="8">
        <v>35.99</v>
      </c>
      <c r="E327" s="4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 s="5">
        <v>0.85</v>
      </c>
      <c r="O327" t="s">
        <v>33</v>
      </c>
      <c r="P327" t="s">
        <v>34</v>
      </c>
      <c r="Q327" t="s">
        <v>255</v>
      </c>
      <c r="R327" t="s">
        <v>718</v>
      </c>
      <c r="S327" s="7">
        <v>81001</v>
      </c>
      <c r="T327" s="3">
        <v>42038</v>
      </c>
      <c r="U327" s="3">
        <v>42040</v>
      </c>
      <c r="V327" s="4">
        <v>-120.934</v>
      </c>
      <c r="W327">
        <v>7</v>
      </c>
      <c r="X327">
        <v>227.79</v>
      </c>
      <c r="Y327" s="7">
        <v>87020</v>
      </c>
    </row>
    <row r="328" spans="1:25" ht="12.75" customHeight="1">
      <c r="A328">
        <v>4015</v>
      </c>
      <c r="B328" t="s">
        <v>47</v>
      </c>
      <c r="C328" s="4">
        <v>0.09</v>
      </c>
      <c r="D328" s="8">
        <v>154.13</v>
      </c>
      <c r="E328" s="4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 s="5">
        <v>0.68</v>
      </c>
      <c r="O328" t="s">
        <v>33</v>
      </c>
      <c r="P328" t="s">
        <v>34</v>
      </c>
      <c r="Q328" t="s">
        <v>45</v>
      </c>
      <c r="R328" t="s">
        <v>663</v>
      </c>
      <c r="S328" s="7">
        <v>90045</v>
      </c>
      <c r="T328" s="3">
        <v>42077</v>
      </c>
      <c r="U328" s="3">
        <v>42078</v>
      </c>
      <c r="V328" s="4">
        <v>-1763.7477000000003</v>
      </c>
      <c r="W328">
        <v>38</v>
      </c>
      <c r="X328">
        <v>5679.59</v>
      </c>
      <c r="Y328" s="7">
        <v>28647</v>
      </c>
    </row>
    <row r="329" spans="1:25" ht="12.75" customHeight="1">
      <c r="A329">
        <v>4903</v>
      </c>
      <c r="B329" t="s">
        <v>47</v>
      </c>
      <c r="C329" s="4">
        <v>0.03</v>
      </c>
      <c r="D329" s="8">
        <v>1.88</v>
      </c>
      <c r="E329" s="4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 s="5">
        <v>0.37</v>
      </c>
      <c r="O329" t="s">
        <v>33</v>
      </c>
      <c r="P329" t="s">
        <v>34</v>
      </c>
      <c r="Q329" t="s">
        <v>45</v>
      </c>
      <c r="R329" t="s">
        <v>663</v>
      </c>
      <c r="S329" s="7">
        <v>90045</v>
      </c>
      <c r="T329" s="3">
        <v>42028</v>
      </c>
      <c r="U329" s="3">
        <v>42029</v>
      </c>
      <c r="V329" s="4">
        <v>-15.099500000000001</v>
      </c>
      <c r="W329">
        <v>52</v>
      </c>
      <c r="X329">
        <v>102.32</v>
      </c>
      <c r="Y329" s="7">
        <v>34882</v>
      </c>
    </row>
    <row r="330" spans="1:25" ht="12.75" customHeight="1">
      <c r="A330">
        <v>22015</v>
      </c>
      <c r="B330" t="s">
        <v>47</v>
      </c>
      <c r="C330" s="4">
        <v>0.09</v>
      </c>
      <c r="D330" s="8">
        <v>154.13</v>
      </c>
      <c r="E330" s="4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 s="5">
        <v>0.68</v>
      </c>
      <c r="O330" t="s">
        <v>33</v>
      </c>
      <c r="P330" t="s">
        <v>53</v>
      </c>
      <c r="Q330" t="s">
        <v>71</v>
      </c>
      <c r="R330" t="s">
        <v>721</v>
      </c>
      <c r="S330" s="7">
        <v>11795</v>
      </c>
      <c r="T330" s="3">
        <v>42077</v>
      </c>
      <c r="U330" s="3">
        <v>42078</v>
      </c>
      <c r="V330" s="4">
        <v>-1763.7477000000003</v>
      </c>
      <c r="W330">
        <v>10</v>
      </c>
      <c r="X330">
        <v>1494.63</v>
      </c>
      <c r="Y330" s="7">
        <v>91144</v>
      </c>
    </row>
    <row r="331" spans="1:25" ht="12.75" customHeight="1">
      <c r="A331">
        <v>18492</v>
      </c>
      <c r="B331" t="s">
        <v>37</v>
      </c>
      <c r="C331" s="4">
        <v>0.02</v>
      </c>
      <c r="D331" s="8">
        <v>15.57</v>
      </c>
      <c r="E331" s="4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 s="5">
        <v>0.38</v>
      </c>
      <c r="O331" t="s">
        <v>33</v>
      </c>
      <c r="P331" t="s">
        <v>34</v>
      </c>
      <c r="Q331" t="s">
        <v>255</v>
      </c>
      <c r="R331" t="s">
        <v>718</v>
      </c>
      <c r="S331" s="7">
        <v>81001</v>
      </c>
      <c r="T331" s="3">
        <v>42123</v>
      </c>
      <c r="U331" s="3">
        <v>42124</v>
      </c>
      <c r="V331" s="4">
        <v>23.5428</v>
      </c>
      <c r="W331">
        <v>3</v>
      </c>
      <c r="X331">
        <v>46.23</v>
      </c>
      <c r="Y331" s="7">
        <v>88198</v>
      </c>
    </row>
    <row r="332" spans="1:25" ht="12.75" customHeight="1">
      <c r="A332">
        <v>18493</v>
      </c>
      <c r="B332" t="s">
        <v>37</v>
      </c>
      <c r="C332" s="4">
        <v>0.02</v>
      </c>
      <c r="D332" s="8">
        <v>20.89</v>
      </c>
      <c r="E332" s="4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 s="5">
        <v>0.83</v>
      </c>
      <c r="O332" t="s">
        <v>33</v>
      </c>
      <c r="P332" t="s">
        <v>34</v>
      </c>
      <c r="Q332" t="s">
        <v>255</v>
      </c>
      <c r="R332" t="s">
        <v>718</v>
      </c>
      <c r="S332" s="7">
        <v>81001</v>
      </c>
      <c r="T332" s="3">
        <v>42123</v>
      </c>
      <c r="U332" s="3">
        <v>42124</v>
      </c>
      <c r="V332" s="4">
        <v>-276.11279999999999</v>
      </c>
      <c r="W332">
        <v>13</v>
      </c>
      <c r="X332">
        <v>279.27999999999997</v>
      </c>
      <c r="Y332" s="7">
        <v>88198</v>
      </c>
    </row>
    <row r="333" spans="1:25" ht="12.75" customHeight="1">
      <c r="A333">
        <v>22196</v>
      </c>
      <c r="B333" t="s">
        <v>47</v>
      </c>
      <c r="C333" s="4">
        <v>0.06</v>
      </c>
      <c r="D333" s="8">
        <v>17.98</v>
      </c>
      <c r="E333" s="4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 s="5">
        <v>0.79</v>
      </c>
      <c r="O333" t="s">
        <v>33</v>
      </c>
      <c r="P333" t="s">
        <v>34</v>
      </c>
      <c r="Q333" t="s">
        <v>255</v>
      </c>
      <c r="R333" t="s">
        <v>726</v>
      </c>
      <c r="S333" s="7">
        <v>81007</v>
      </c>
      <c r="T333" s="3">
        <v>42087</v>
      </c>
      <c r="U333" s="3">
        <v>42088</v>
      </c>
      <c r="V333" s="4">
        <v>-78.13</v>
      </c>
      <c r="W333">
        <v>4</v>
      </c>
      <c r="X333">
        <v>70.06</v>
      </c>
      <c r="Y333" s="7">
        <v>88197</v>
      </c>
    </row>
    <row r="334" spans="1:25" ht="12.75" customHeight="1">
      <c r="A334">
        <v>18490</v>
      </c>
      <c r="B334" t="s">
        <v>37</v>
      </c>
      <c r="C334" s="4">
        <v>0.06</v>
      </c>
      <c r="D334" s="8">
        <v>5.38</v>
      </c>
      <c r="E334" s="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 s="5">
        <v>0.36</v>
      </c>
      <c r="O334" t="s">
        <v>33</v>
      </c>
      <c r="P334" t="s">
        <v>34</v>
      </c>
      <c r="Q334" t="s">
        <v>255</v>
      </c>
      <c r="R334" t="s">
        <v>726</v>
      </c>
      <c r="S334" s="7">
        <v>81007</v>
      </c>
      <c r="T334" s="3">
        <v>42123</v>
      </c>
      <c r="U334" s="3">
        <v>42124</v>
      </c>
      <c r="V334" s="4">
        <v>-64.670940000000002</v>
      </c>
      <c r="W334">
        <v>14</v>
      </c>
      <c r="X334">
        <v>81.819999999999993</v>
      </c>
      <c r="Y334" s="7">
        <v>88198</v>
      </c>
    </row>
    <row r="335" spans="1:25" ht="12.75" customHeight="1">
      <c r="A335">
        <v>18491</v>
      </c>
      <c r="B335" t="s">
        <v>37</v>
      </c>
      <c r="C335" s="4">
        <v>0.03</v>
      </c>
      <c r="D335" s="8">
        <v>7.35</v>
      </c>
      <c r="E335" s="4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 s="5">
        <v>0.38</v>
      </c>
      <c r="O335" t="s">
        <v>33</v>
      </c>
      <c r="P335" t="s">
        <v>34</v>
      </c>
      <c r="Q335" t="s">
        <v>255</v>
      </c>
      <c r="R335" t="s">
        <v>726</v>
      </c>
      <c r="S335" s="7">
        <v>81007</v>
      </c>
      <c r="T335" s="3">
        <v>42123</v>
      </c>
      <c r="U335" s="3">
        <v>42124</v>
      </c>
      <c r="V335" s="4">
        <v>-11.113199999999999</v>
      </c>
      <c r="W335">
        <v>1</v>
      </c>
      <c r="X335">
        <v>13.16</v>
      </c>
      <c r="Y335" s="7">
        <v>88198</v>
      </c>
    </row>
    <row r="336" spans="1:25" ht="12.75" customHeight="1">
      <c r="A336">
        <v>25539</v>
      </c>
      <c r="B336" t="s">
        <v>47</v>
      </c>
      <c r="C336" s="4">
        <v>0.03</v>
      </c>
      <c r="D336" s="8">
        <v>14.2</v>
      </c>
      <c r="E336" s="4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 s="5">
        <v>0.46</v>
      </c>
      <c r="O336" t="s">
        <v>33</v>
      </c>
      <c r="P336" t="s">
        <v>61</v>
      </c>
      <c r="Q336" t="s">
        <v>300</v>
      </c>
      <c r="R336" t="s">
        <v>731</v>
      </c>
      <c r="S336" s="7">
        <v>48195</v>
      </c>
      <c r="T336" s="3">
        <v>42011</v>
      </c>
      <c r="U336" s="3">
        <v>42012</v>
      </c>
      <c r="V336" s="4">
        <v>107.02</v>
      </c>
      <c r="W336">
        <v>14</v>
      </c>
      <c r="X336">
        <v>205.98</v>
      </c>
      <c r="Y336" s="7">
        <v>88196</v>
      </c>
    </row>
    <row r="337" spans="1:25" ht="12.75" customHeight="1">
      <c r="A337">
        <v>22248</v>
      </c>
      <c r="B337" t="s">
        <v>56</v>
      </c>
      <c r="C337" s="4">
        <v>0.1</v>
      </c>
      <c r="D337" s="8">
        <v>6.88</v>
      </c>
      <c r="E337" s="4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 s="5">
        <v>0.39</v>
      </c>
      <c r="O337" t="s">
        <v>33</v>
      </c>
      <c r="P337" t="s">
        <v>53</v>
      </c>
      <c r="Q337" t="s">
        <v>228</v>
      </c>
      <c r="R337" t="s">
        <v>396</v>
      </c>
      <c r="S337" s="7">
        <v>6111</v>
      </c>
      <c r="T337" s="3">
        <v>42061</v>
      </c>
      <c r="U337" s="3">
        <v>42062</v>
      </c>
      <c r="V337" s="4">
        <v>18.420000000000002</v>
      </c>
      <c r="W337">
        <v>5</v>
      </c>
      <c r="X337">
        <v>31.46</v>
      </c>
      <c r="Y337" s="7">
        <v>91432</v>
      </c>
    </row>
    <row r="338" spans="1:25" ht="12.75" customHeight="1">
      <c r="A338">
        <v>22247</v>
      </c>
      <c r="B338" t="s">
        <v>56</v>
      </c>
      <c r="C338" s="4">
        <v>0.06</v>
      </c>
      <c r="D338" s="8">
        <v>195.99</v>
      </c>
      <c r="E338" s="4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 s="5">
        <v>0.6</v>
      </c>
      <c r="O338" t="s">
        <v>33</v>
      </c>
      <c r="P338" t="s">
        <v>53</v>
      </c>
      <c r="Q338" t="s">
        <v>188</v>
      </c>
      <c r="R338" t="s">
        <v>511</v>
      </c>
      <c r="S338" s="7">
        <v>4210</v>
      </c>
      <c r="T338" s="3">
        <v>42061</v>
      </c>
      <c r="U338" s="3">
        <v>42063</v>
      </c>
      <c r="V338" s="4">
        <v>349.47</v>
      </c>
      <c r="W338">
        <v>6</v>
      </c>
      <c r="X338">
        <v>948.97</v>
      </c>
      <c r="Y338" s="7">
        <v>91432</v>
      </c>
    </row>
    <row r="339" spans="1:25" ht="12.75" customHeight="1">
      <c r="A339">
        <v>24880</v>
      </c>
      <c r="B339" t="s">
        <v>25</v>
      </c>
      <c r="C339" s="4">
        <v>0.05</v>
      </c>
      <c r="D339" s="8">
        <v>6.48</v>
      </c>
      <c r="E339" s="4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 s="5">
        <v>0.37</v>
      </c>
      <c r="O339" t="s">
        <v>33</v>
      </c>
      <c r="P339" t="s">
        <v>53</v>
      </c>
      <c r="Q339" t="s">
        <v>197</v>
      </c>
      <c r="R339" t="s">
        <v>737</v>
      </c>
      <c r="S339" s="7">
        <v>3101</v>
      </c>
      <c r="T339" s="3">
        <v>42095</v>
      </c>
      <c r="U339" s="3">
        <v>42097</v>
      </c>
      <c r="V339" s="4">
        <v>-226.34640000000002</v>
      </c>
      <c r="W339">
        <v>21</v>
      </c>
      <c r="X339">
        <v>136.99</v>
      </c>
      <c r="Y339" s="7">
        <v>91433</v>
      </c>
    </row>
    <row r="340" spans="1:25" ht="12.75" customHeight="1">
      <c r="A340">
        <v>24881</v>
      </c>
      <c r="B340" t="s">
        <v>25</v>
      </c>
      <c r="C340" s="4">
        <v>0.05</v>
      </c>
      <c r="D340" s="8">
        <v>55.99</v>
      </c>
      <c r="E340" s="4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 s="5">
        <v>0.8</v>
      </c>
      <c r="O340" t="s">
        <v>33</v>
      </c>
      <c r="P340" t="s">
        <v>53</v>
      </c>
      <c r="Q340" t="s">
        <v>149</v>
      </c>
      <c r="R340" t="s">
        <v>739</v>
      </c>
      <c r="S340" s="7">
        <v>5701</v>
      </c>
      <c r="T340" s="3">
        <v>42095</v>
      </c>
      <c r="U340" s="3">
        <v>42095</v>
      </c>
      <c r="V340" s="4">
        <v>-281.17583999999999</v>
      </c>
      <c r="W340">
        <v>2</v>
      </c>
      <c r="X340">
        <v>99.36</v>
      </c>
      <c r="Y340" s="7">
        <v>91433</v>
      </c>
    </row>
    <row r="341" spans="1:25" ht="12.75" customHeight="1">
      <c r="A341">
        <v>21718</v>
      </c>
      <c r="B341" t="s">
        <v>56</v>
      </c>
      <c r="C341" s="4">
        <v>0.02</v>
      </c>
      <c r="D341" s="8">
        <v>419.19</v>
      </c>
      <c r="E341" s="4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 s="5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 s="7">
        <v>43952</v>
      </c>
      <c r="T341" s="3">
        <v>42115</v>
      </c>
      <c r="U341" s="3">
        <v>42116</v>
      </c>
      <c r="V341" s="4">
        <v>6610.2</v>
      </c>
      <c r="W341">
        <v>22</v>
      </c>
      <c r="X341">
        <v>9580</v>
      </c>
      <c r="Y341" s="7">
        <v>90469</v>
      </c>
    </row>
    <row r="342" spans="1:25" ht="12.75" customHeight="1">
      <c r="A342">
        <v>19364</v>
      </c>
      <c r="B342" t="s">
        <v>25</v>
      </c>
      <c r="C342" s="4">
        <v>0.01</v>
      </c>
      <c r="D342" s="8">
        <v>2.08</v>
      </c>
      <c r="E342" s="4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 s="5">
        <v>0.43</v>
      </c>
      <c r="O342" t="s">
        <v>33</v>
      </c>
      <c r="P342" t="s">
        <v>61</v>
      </c>
      <c r="Q342" t="s">
        <v>62</v>
      </c>
      <c r="R342" t="s">
        <v>745</v>
      </c>
      <c r="S342" s="7">
        <v>55106</v>
      </c>
      <c r="T342" s="3">
        <v>42099</v>
      </c>
      <c r="U342" s="3">
        <v>42099</v>
      </c>
      <c r="V342" s="4">
        <v>-103.7124</v>
      </c>
      <c r="W342">
        <v>12</v>
      </c>
      <c r="X342">
        <v>28.32</v>
      </c>
      <c r="Y342" s="7">
        <v>89284</v>
      </c>
    </row>
    <row r="343" spans="1:25" ht="12.75" customHeight="1">
      <c r="A343">
        <v>19365</v>
      </c>
      <c r="B343" t="s">
        <v>25</v>
      </c>
      <c r="C343" s="4">
        <v>0.03</v>
      </c>
      <c r="D343" s="8">
        <v>370.98</v>
      </c>
      <c r="E343" s="4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 s="5">
        <v>0.65</v>
      </c>
      <c r="O343" t="s">
        <v>33</v>
      </c>
      <c r="P343" t="s">
        <v>61</v>
      </c>
      <c r="Q343" t="s">
        <v>62</v>
      </c>
      <c r="R343" t="s">
        <v>745</v>
      </c>
      <c r="S343" s="7">
        <v>55106</v>
      </c>
      <c r="T343" s="3">
        <v>42099</v>
      </c>
      <c r="U343" s="3">
        <v>42100</v>
      </c>
      <c r="V343" s="4">
        <v>-124.2864</v>
      </c>
      <c r="W343">
        <v>6</v>
      </c>
      <c r="X343">
        <v>2309.4899999999998</v>
      </c>
      <c r="Y343" s="7">
        <v>89284</v>
      </c>
    </row>
    <row r="344" spans="1:25" ht="12.75" customHeight="1">
      <c r="A344">
        <v>19539</v>
      </c>
      <c r="B344" t="s">
        <v>106</v>
      </c>
      <c r="C344" s="4">
        <v>0.06</v>
      </c>
      <c r="D344" s="8">
        <v>160.97999999999999</v>
      </c>
      <c r="E344" s="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 s="5">
        <v>0.72</v>
      </c>
      <c r="O344" t="s">
        <v>33</v>
      </c>
      <c r="P344" t="s">
        <v>34</v>
      </c>
      <c r="Q344" t="s">
        <v>45</v>
      </c>
      <c r="R344" t="s">
        <v>749</v>
      </c>
      <c r="S344" s="7">
        <v>95051</v>
      </c>
      <c r="T344" s="3">
        <v>42083</v>
      </c>
      <c r="U344" s="3">
        <v>42087</v>
      </c>
      <c r="V344" s="4">
        <v>-229.68</v>
      </c>
      <c r="W344">
        <v>8</v>
      </c>
      <c r="X344">
        <v>1232.01</v>
      </c>
      <c r="Y344" s="7">
        <v>87953</v>
      </c>
    </row>
    <row r="345" spans="1:25" ht="12.75" customHeight="1">
      <c r="A345">
        <v>24387</v>
      </c>
      <c r="B345" t="s">
        <v>47</v>
      </c>
      <c r="C345" s="4">
        <v>0.06</v>
      </c>
      <c r="D345" s="8">
        <v>65.989999999999995</v>
      </c>
      <c r="E345" s="4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 s="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 s="7">
        <v>95062</v>
      </c>
      <c r="T345" s="3">
        <v>42124</v>
      </c>
      <c r="U345" s="3">
        <v>42125</v>
      </c>
      <c r="V345" s="4">
        <v>288.08999999999997</v>
      </c>
      <c r="W345">
        <v>9</v>
      </c>
      <c r="X345">
        <v>506.38</v>
      </c>
      <c r="Y345" s="7">
        <v>87954</v>
      </c>
    </row>
    <row r="346" spans="1:25" ht="12.75" customHeight="1">
      <c r="A346">
        <v>24388</v>
      </c>
      <c r="B346" t="s">
        <v>47</v>
      </c>
      <c r="C346" s="4">
        <v>0</v>
      </c>
      <c r="D346" s="8">
        <v>195.99</v>
      </c>
      <c r="E346" s="4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 s="5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 s="7">
        <v>95062</v>
      </c>
      <c r="T346" s="3">
        <v>42124</v>
      </c>
      <c r="U346" s="3">
        <v>42126</v>
      </c>
      <c r="V346" s="4">
        <v>719.47679999999991</v>
      </c>
      <c r="W346">
        <v>6</v>
      </c>
      <c r="X346">
        <v>1042.72</v>
      </c>
      <c r="Y346" s="7">
        <v>87954</v>
      </c>
    </row>
    <row r="347" spans="1:25" ht="12.75" customHeight="1">
      <c r="A347">
        <v>25893</v>
      </c>
      <c r="B347" t="s">
        <v>37</v>
      </c>
      <c r="C347" s="4">
        <v>0</v>
      </c>
      <c r="D347" s="8">
        <v>236.97</v>
      </c>
      <c r="E347" s="4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 s="5">
        <v>0.61</v>
      </c>
      <c r="O347" t="s">
        <v>33</v>
      </c>
      <c r="P347" t="s">
        <v>34</v>
      </c>
      <c r="Q347" t="s">
        <v>45</v>
      </c>
      <c r="R347" t="s">
        <v>756</v>
      </c>
      <c r="S347" s="7">
        <v>93454</v>
      </c>
      <c r="T347" s="3">
        <v>42049</v>
      </c>
      <c r="U347" s="3">
        <v>42050</v>
      </c>
      <c r="V347" s="4">
        <v>1192.04</v>
      </c>
      <c r="W347">
        <v>9</v>
      </c>
      <c r="X347">
        <v>1769.91</v>
      </c>
      <c r="Y347" s="7">
        <v>87952</v>
      </c>
    </row>
    <row r="348" spans="1:25" ht="12.75" customHeight="1">
      <c r="A348">
        <v>7893</v>
      </c>
      <c r="B348" t="s">
        <v>37</v>
      </c>
      <c r="C348" s="4">
        <v>0</v>
      </c>
      <c r="D348" s="8">
        <v>236.97</v>
      </c>
      <c r="E348" s="4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 s="5">
        <v>0.61</v>
      </c>
      <c r="O348" t="s">
        <v>33</v>
      </c>
      <c r="P348" t="s">
        <v>34</v>
      </c>
      <c r="Q348" t="s">
        <v>35</v>
      </c>
      <c r="R348" t="s">
        <v>209</v>
      </c>
      <c r="S348" s="7">
        <v>98119</v>
      </c>
      <c r="T348" s="3">
        <v>42049</v>
      </c>
      <c r="U348" s="3">
        <v>42050</v>
      </c>
      <c r="V348" s="4">
        <v>1192.04</v>
      </c>
      <c r="W348">
        <v>34</v>
      </c>
      <c r="X348">
        <v>6686.34</v>
      </c>
      <c r="Y348" s="7">
        <v>56452</v>
      </c>
    </row>
    <row r="349" spans="1:25" ht="12.75" customHeight="1">
      <c r="A349">
        <v>1539</v>
      </c>
      <c r="B349" t="s">
        <v>106</v>
      </c>
      <c r="C349" s="4">
        <v>0.06</v>
      </c>
      <c r="D349" s="8">
        <v>160.97999999999999</v>
      </c>
      <c r="E349" s="4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 s="5">
        <v>0.72</v>
      </c>
      <c r="O349" t="s">
        <v>33</v>
      </c>
      <c r="P349" t="s">
        <v>34</v>
      </c>
      <c r="Q349" t="s">
        <v>35</v>
      </c>
      <c r="R349" t="s">
        <v>209</v>
      </c>
      <c r="S349" s="7">
        <v>98119</v>
      </c>
      <c r="T349" s="3">
        <v>42083</v>
      </c>
      <c r="U349" s="3">
        <v>42087</v>
      </c>
      <c r="V349" s="4">
        <v>-229.68</v>
      </c>
      <c r="W349">
        <v>30</v>
      </c>
      <c r="X349">
        <v>4620.05</v>
      </c>
      <c r="Y349" s="7">
        <v>11077</v>
      </c>
    </row>
    <row r="350" spans="1:25" ht="12.75" customHeight="1">
      <c r="A350">
        <v>6387</v>
      </c>
      <c r="B350" t="s">
        <v>47</v>
      </c>
      <c r="C350" s="4">
        <v>0.06</v>
      </c>
      <c r="D350" s="8">
        <v>65.989999999999995</v>
      </c>
      <c r="E350" s="4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 s="5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 s="7">
        <v>98119</v>
      </c>
      <c r="T350" s="3">
        <v>42124</v>
      </c>
      <c r="U350" s="3">
        <v>42125</v>
      </c>
      <c r="V350" s="4">
        <v>288.08999999999997</v>
      </c>
      <c r="W350">
        <v>34</v>
      </c>
      <c r="X350">
        <v>1912.98</v>
      </c>
      <c r="Y350" s="7">
        <v>45380</v>
      </c>
    </row>
    <row r="351" spans="1:25" ht="12.75" customHeight="1">
      <c r="A351">
        <v>6388</v>
      </c>
      <c r="B351" t="s">
        <v>47</v>
      </c>
      <c r="C351" s="4">
        <v>0</v>
      </c>
      <c r="D351" s="8">
        <v>195.99</v>
      </c>
      <c r="E351" s="4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 s="5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 s="7">
        <v>98119</v>
      </c>
      <c r="T351" s="3">
        <v>42124</v>
      </c>
      <c r="U351" s="3">
        <v>42126</v>
      </c>
      <c r="V351" s="4">
        <v>1030.509</v>
      </c>
      <c r="W351">
        <v>24</v>
      </c>
      <c r="X351">
        <v>4170.87</v>
      </c>
      <c r="Y351" s="7">
        <v>45380</v>
      </c>
    </row>
    <row r="352" spans="1:25" ht="12.75" customHeight="1">
      <c r="A352">
        <v>24869</v>
      </c>
      <c r="B352" t="s">
        <v>106</v>
      </c>
      <c r="C352" s="4">
        <v>0.03</v>
      </c>
      <c r="D352" s="8">
        <v>51.75</v>
      </c>
      <c r="E352" s="4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 s="5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 s="7">
        <v>55379</v>
      </c>
      <c r="T352" s="3">
        <v>42172</v>
      </c>
      <c r="U352" s="3">
        <v>42177</v>
      </c>
      <c r="V352" s="4">
        <v>261.44400000000002</v>
      </c>
      <c r="W352">
        <v>16</v>
      </c>
      <c r="X352">
        <v>818.81</v>
      </c>
      <c r="Y352" s="7">
        <v>90735</v>
      </c>
    </row>
    <row r="353" spans="1:25" ht="12.75" customHeight="1">
      <c r="A353">
        <v>21760</v>
      </c>
      <c r="B353" t="s">
        <v>37</v>
      </c>
      <c r="C353" s="4">
        <v>0.02</v>
      </c>
      <c r="D353" s="8">
        <v>25.38</v>
      </c>
      <c r="E353" s="4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 s="5">
        <v>0.5</v>
      </c>
      <c r="O353" t="s">
        <v>33</v>
      </c>
      <c r="P353" t="s">
        <v>61</v>
      </c>
      <c r="Q353" t="s">
        <v>178</v>
      </c>
      <c r="R353" t="s">
        <v>763</v>
      </c>
      <c r="S353" s="7">
        <v>60440</v>
      </c>
      <c r="T353" s="3">
        <v>42176</v>
      </c>
      <c r="U353" s="3">
        <v>42177</v>
      </c>
      <c r="V353" s="4">
        <v>-10.36</v>
      </c>
      <c r="W353">
        <v>1</v>
      </c>
      <c r="X353">
        <v>34.11</v>
      </c>
      <c r="Y353" s="7">
        <v>91365</v>
      </c>
    </row>
    <row r="354" spans="1:25" ht="12.75" customHeight="1">
      <c r="A354">
        <v>23154</v>
      </c>
      <c r="B354" t="s">
        <v>56</v>
      </c>
      <c r="C354" s="4">
        <v>0.02</v>
      </c>
      <c r="D354" s="8">
        <v>3.78</v>
      </c>
      <c r="E354" s="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 s="5">
        <v>0.39</v>
      </c>
      <c r="O354" t="s">
        <v>33</v>
      </c>
      <c r="P354" t="s">
        <v>61</v>
      </c>
      <c r="Q354" t="s">
        <v>178</v>
      </c>
      <c r="R354" t="s">
        <v>766</v>
      </c>
      <c r="S354" s="7">
        <v>60089</v>
      </c>
      <c r="T354" s="3">
        <v>42153</v>
      </c>
      <c r="U354" s="3">
        <v>42154</v>
      </c>
      <c r="V354" s="4">
        <v>106.7499</v>
      </c>
      <c r="W354">
        <v>40</v>
      </c>
      <c r="X354">
        <v>154.71</v>
      </c>
      <c r="Y354" s="7">
        <v>91366</v>
      </c>
    </row>
    <row r="355" spans="1:25" ht="12.75" customHeight="1">
      <c r="A355">
        <v>24199</v>
      </c>
      <c r="B355" t="s">
        <v>25</v>
      </c>
      <c r="C355" s="4">
        <v>0.08</v>
      </c>
      <c r="D355" s="8">
        <v>15.99</v>
      </c>
      <c r="E355" s="4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 s="5">
        <v>0.37</v>
      </c>
      <c r="O355" t="s">
        <v>33</v>
      </c>
      <c r="P355" t="s">
        <v>34</v>
      </c>
      <c r="Q355" t="s">
        <v>533</v>
      </c>
      <c r="R355" t="s">
        <v>768</v>
      </c>
      <c r="S355" s="7">
        <v>89115</v>
      </c>
      <c r="T355" s="3">
        <v>42011</v>
      </c>
      <c r="U355" s="3">
        <v>42012</v>
      </c>
      <c r="V355" s="4">
        <v>-246.92615999999998</v>
      </c>
      <c r="W355">
        <v>12</v>
      </c>
      <c r="X355">
        <v>192.33</v>
      </c>
      <c r="Y355" s="7">
        <v>91575</v>
      </c>
    </row>
    <row r="356" spans="1:25" ht="12.75" customHeight="1">
      <c r="A356">
        <v>23433</v>
      </c>
      <c r="B356" t="s">
        <v>106</v>
      </c>
      <c r="C356" s="4">
        <v>0.04</v>
      </c>
      <c r="D356" s="8">
        <v>880.98</v>
      </c>
      <c r="E356" s="4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 s="5">
        <v>0.62</v>
      </c>
      <c r="O356" t="s">
        <v>33</v>
      </c>
      <c r="P356" t="s">
        <v>34</v>
      </c>
      <c r="Q356" t="s">
        <v>533</v>
      </c>
      <c r="R356" t="s">
        <v>768</v>
      </c>
      <c r="S356" s="7">
        <v>89115</v>
      </c>
      <c r="T356" s="3">
        <v>42050</v>
      </c>
      <c r="U356" s="3">
        <v>42054</v>
      </c>
      <c r="V356" s="4">
        <v>4233.2587999999996</v>
      </c>
      <c r="W356">
        <v>8</v>
      </c>
      <c r="X356">
        <v>6901.25</v>
      </c>
      <c r="Y356" s="7">
        <v>91576</v>
      </c>
    </row>
    <row r="357" spans="1:25" ht="12.75" customHeight="1">
      <c r="A357">
        <v>23434</v>
      </c>
      <c r="B357" t="s">
        <v>106</v>
      </c>
      <c r="C357" s="4">
        <v>7.0000000000000007E-2</v>
      </c>
      <c r="D357" s="8">
        <v>13.4</v>
      </c>
      <c r="E357" s="4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 s="5">
        <v>0.37</v>
      </c>
      <c r="O357" t="s">
        <v>33</v>
      </c>
      <c r="P357" t="s">
        <v>34</v>
      </c>
      <c r="Q357" t="s">
        <v>533</v>
      </c>
      <c r="R357" t="s">
        <v>768</v>
      </c>
      <c r="S357" s="7">
        <v>89115</v>
      </c>
      <c r="T357" s="3">
        <v>42050</v>
      </c>
      <c r="U357" s="3">
        <v>42055</v>
      </c>
      <c r="V357" s="4">
        <v>102.76859999999999</v>
      </c>
      <c r="W357">
        <v>11</v>
      </c>
      <c r="X357">
        <v>148.94</v>
      </c>
      <c r="Y357" s="7">
        <v>91576</v>
      </c>
    </row>
    <row r="358" spans="1:25" ht="12.75" customHeight="1">
      <c r="A358">
        <v>23435</v>
      </c>
      <c r="B358" t="s">
        <v>106</v>
      </c>
      <c r="C358" s="4">
        <v>0.01</v>
      </c>
      <c r="D358" s="8">
        <v>15.99</v>
      </c>
      <c r="E358" s="4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 s="5">
        <v>0.38</v>
      </c>
      <c r="O358" t="s">
        <v>33</v>
      </c>
      <c r="P358" t="s">
        <v>34</v>
      </c>
      <c r="Q358" t="s">
        <v>533</v>
      </c>
      <c r="R358" t="s">
        <v>768</v>
      </c>
      <c r="S358" s="7">
        <v>89115</v>
      </c>
      <c r="T358" s="3">
        <v>42050</v>
      </c>
      <c r="U358" s="3">
        <v>42057</v>
      </c>
      <c r="V358" s="4">
        <v>-36.671543999999997</v>
      </c>
      <c r="W358">
        <v>12</v>
      </c>
      <c r="X358">
        <v>200.68</v>
      </c>
      <c r="Y358" s="7">
        <v>91576</v>
      </c>
    </row>
    <row r="359" spans="1:25" ht="12.75" customHeight="1">
      <c r="A359">
        <v>25055</v>
      </c>
      <c r="B359" t="s">
        <v>37</v>
      </c>
      <c r="C359" s="4">
        <v>0</v>
      </c>
      <c r="D359" s="8">
        <v>2.78</v>
      </c>
      <c r="E359" s="4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 s="5">
        <v>0.36</v>
      </c>
      <c r="O359" t="s">
        <v>33</v>
      </c>
      <c r="P359" t="s">
        <v>34</v>
      </c>
      <c r="Q359" t="s">
        <v>45</v>
      </c>
      <c r="R359" t="s">
        <v>773</v>
      </c>
      <c r="S359" s="7">
        <v>91730</v>
      </c>
      <c r="T359" s="3">
        <v>42110</v>
      </c>
      <c r="U359" s="3">
        <v>42111</v>
      </c>
      <c r="V359" s="4">
        <v>20.6448</v>
      </c>
      <c r="W359">
        <v>9</v>
      </c>
      <c r="X359">
        <v>29.92</v>
      </c>
      <c r="Y359" s="7">
        <v>91213</v>
      </c>
    </row>
    <row r="360" spans="1:25" ht="12.75" customHeight="1">
      <c r="A360">
        <v>20874</v>
      </c>
      <c r="B360" t="s">
        <v>47</v>
      </c>
      <c r="C360" s="4">
        <v>0.1</v>
      </c>
      <c r="D360" s="8">
        <v>18.97</v>
      </c>
      <c r="E360" s="4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 s="5">
        <v>0.37</v>
      </c>
      <c r="O360" t="s">
        <v>33</v>
      </c>
      <c r="P360" t="s">
        <v>53</v>
      </c>
      <c r="Q360" t="s">
        <v>193</v>
      </c>
      <c r="R360" t="s">
        <v>776</v>
      </c>
      <c r="S360" s="7">
        <v>1540</v>
      </c>
      <c r="T360" s="3">
        <v>42023</v>
      </c>
      <c r="U360" s="3">
        <v>42025</v>
      </c>
      <c r="V360" s="4">
        <v>-24.204799999999999</v>
      </c>
      <c r="W360">
        <v>1</v>
      </c>
      <c r="X360">
        <v>19.73</v>
      </c>
      <c r="Y360" s="7">
        <v>91212</v>
      </c>
    </row>
    <row r="361" spans="1:25" ht="12.75" customHeight="1">
      <c r="A361">
        <v>20875</v>
      </c>
      <c r="B361" t="s">
        <v>47</v>
      </c>
      <c r="C361" s="4">
        <v>0</v>
      </c>
      <c r="D361" s="8">
        <v>119.99</v>
      </c>
      <c r="E361" s="4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 s="5">
        <v>0.39</v>
      </c>
      <c r="O361" t="s">
        <v>33</v>
      </c>
      <c r="P361" t="s">
        <v>53</v>
      </c>
      <c r="Q361" t="s">
        <v>149</v>
      </c>
      <c r="R361" t="s">
        <v>778</v>
      </c>
      <c r="S361" s="7">
        <v>5403</v>
      </c>
      <c r="T361" s="3">
        <v>42023</v>
      </c>
      <c r="U361" s="3">
        <v>42024</v>
      </c>
      <c r="V361" s="4">
        <v>-126.05777999999999</v>
      </c>
      <c r="W361">
        <v>5</v>
      </c>
      <c r="X361">
        <v>615.54</v>
      </c>
      <c r="Y361" s="7">
        <v>91212</v>
      </c>
    </row>
    <row r="362" spans="1:25" ht="12.75" customHeight="1">
      <c r="A362">
        <v>23487</v>
      </c>
      <c r="B362" t="s">
        <v>47</v>
      </c>
      <c r="C362" s="4">
        <v>0.02</v>
      </c>
      <c r="D362" s="8">
        <v>14.58</v>
      </c>
      <c r="E362" s="4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 s="5">
        <v>0.48</v>
      </c>
      <c r="O362" t="s">
        <v>33</v>
      </c>
      <c r="P362" t="s">
        <v>53</v>
      </c>
      <c r="Q362" t="s">
        <v>154</v>
      </c>
      <c r="R362" t="s">
        <v>742</v>
      </c>
      <c r="S362" s="7">
        <v>43952</v>
      </c>
      <c r="T362" s="3">
        <v>42153</v>
      </c>
      <c r="U362" s="3">
        <v>42156</v>
      </c>
      <c r="V362" s="4">
        <v>10.802000000000001</v>
      </c>
      <c r="W362">
        <v>17</v>
      </c>
      <c r="X362">
        <v>261.33999999999997</v>
      </c>
      <c r="Y362" s="7">
        <v>90922</v>
      </c>
    </row>
    <row r="363" spans="1:25" ht="12.75" customHeight="1">
      <c r="A363">
        <v>21086</v>
      </c>
      <c r="B363" t="s">
        <v>106</v>
      </c>
      <c r="C363" s="4">
        <v>0.04</v>
      </c>
      <c r="D363" s="8">
        <v>22.72</v>
      </c>
      <c r="E363" s="4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 s="5">
        <v>0.44</v>
      </c>
      <c r="O363" t="s">
        <v>33</v>
      </c>
      <c r="P363" t="s">
        <v>136</v>
      </c>
      <c r="Q363" t="s">
        <v>244</v>
      </c>
      <c r="R363" t="s">
        <v>610</v>
      </c>
      <c r="S363" s="7">
        <v>37130</v>
      </c>
      <c r="T363" s="3">
        <v>42020</v>
      </c>
      <c r="U363" s="3">
        <v>42024</v>
      </c>
      <c r="V363" s="4">
        <v>-678.49599999999998</v>
      </c>
      <c r="W363">
        <v>9</v>
      </c>
      <c r="X363">
        <v>202.41</v>
      </c>
      <c r="Y363" s="7">
        <v>88677</v>
      </c>
    </row>
    <row r="364" spans="1:25" ht="12.75" customHeight="1">
      <c r="A364">
        <v>18667</v>
      </c>
      <c r="B364" t="s">
        <v>47</v>
      </c>
      <c r="C364" s="4">
        <v>0.02</v>
      </c>
      <c r="D364" s="8">
        <v>130.97999999999999</v>
      </c>
      <c r="E364" s="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 s="5">
        <v>0.78</v>
      </c>
      <c r="O364" t="s">
        <v>33</v>
      </c>
      <c r="P364" t="s">
        <v>136</v>
      </c>
      <c r="Q364" t="s">
        <v>244</v>
      </c>
      <c r="R364" t="s">
        <v>610</v>
      </c>
      <c r="S364" s="7">
        <v>37130</v>
      </c>
      <c r="T364" s="3">
        <v>42112</v>
      </c>
      <c r="U364" s="3">
        <v>42113</v>
      </c>
      <c r="V364" s="4">
        <v>90.762</v>
      </c>
      <c r="W364">
        <v>6</v>
      </c>
      <c r="X364">
        <v>793.39</v>
      </c>
      <c r="Y364" s="7">
        <v>88678</v>
      </c>
    </row>
    <row r="365" spans="1:25" ht="12.75" customHeight="1">
      <c r="A365">
        <v>24776</v>
      </c>
      <c r="B365" t="s">
        <v>106</v>
      </c>
      <c r="C365" s="4">
        <v>0.02</v>
      </c>
      <c r="D365" s="8">
        <v>4.57</v>
      </c>
      <c r="E365" s="4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 s="5">
        <v>0.37</v>
      </c>
      <c r="O365" t="s">
        <v>33</v>
      </c>
      <c r="P365" t="s">
        <v>136</v>
      </c>
      <c r="Q365" t="s">
        <v>244</v>
      </c>
      <c r="R365" t="s">
        <v>785</v>
      </c>
      <c r="S365" s="7">
        <v>37211</v>
      </c>
      <c r="T365" s="3">
        <v>42116</v>
      </c>
      <c r="U365" s="3">
        <v>42120</v>
      </c>
      <c r="V365" s="4">
        <v>-352.81399999999996</v>
      </c>
      <c r="W365">
        <v>11</v>
      </c>
      <c r="X365">
        <v>54.04</v>
      </c>
      <c r="Y365" s="7">
        <v>88679</v>
      </c>
    </row>
    <row r="366" spans="1:25" ht="12.75" customHeight="1">
      <c r="A366">
        <v>3086</v>
      </c>
      <c r="B366" t="s">
        <v>106</v>
      </c>
      <c r="C366" s="4">
        <v>0.04</v>
      </c>
      <c r="D366" s="8">
        <v>22.72</v>
      </c>
      <c r="E366" s="4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 s="5">
        <v>0.44</v>
      </c>
      <c r="O366" t="s">
        <v>33</v>
      </c>
      <c r="P366" t="s">
        <v>61</v>
      </c>
      <c r="Q366" t="s">
        <v>130</v>
      </c>
      <c r="R366" t="s">
        <v>787</v>
      </c>
      <c r="S366" s="7">
        <v>75203</v>
      </c>
      <c r="T366" s="3">
        <v>42020</v>
      </c>
      <c r="U366" s="3">
        <v>42024</v>
      </c>
      <c r="V366" s="4">
        <v>70.028000000000006</v>
      </c>
      <c r="W366">
        <v>37</v>
      </c>
      <c r="X366">
        <v>832.14</v>
      </c>
      <c r="Y366" s="7">
        <v>22147</v>
      </c>
    </row>
    <row r="367" spans="1:25" ht="12.75" customHeight="1">
      <c r="A367">
        <v>6776</v>
      </c>
      <c r="B367" t="s">
        <v>106</v>
      </c>
      <c r="C367" s="4">
        <v>0.02</v>
      </c>
      <c r="D367" s="8">
        <v>4.57</v>
      </c>
      <c r="E367" s="4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 s="5">
        <v>0.37</v>
      </c>
      <c r="O367" t="s">
        <v>33</v>
      </c>
      <c r="P367" t="s">
        <v>61</v>
      </c>
      <c r="Q367" t="s">
        <v>130</v>
      </c>
      <c r="R367" t="s">
        <v>787</v>
      </c>
      <c r="S367" s="7">
        <v>75203</v>
      </c>
      <c r="T367" s="3">
        <v>42116</v>
      </c>
      <c r="U367" s="3">
        <v>42120</v>
      </c>
      <c r="V367" s="4">
        <v>-124.28049999999999</v>
      </c>
      <c r="W367">
        <v>45</v>
      </c>
      <c r="X367">
        <v>221.06</v>
      </c>
      <c r="Y367" s="7">
        <v>48257</v>
      </c>
    </row>
    <row r="368" spans="1:25" ht="12.75" customHeight="1">
      <c r="A368">
        <v>24882</v>
      </c>
      <c r="B368" t="s">
        <v>56</v>
      </c>
      <c r="C368" s="4">
        <v>0.09</v>
      </c>
      <c r="D368" s="8">
        <v>2.89</v>
      </c>
      <c r="E368" s="4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 s="5">
        <v>0.38</v>
      </c>
      <c r="O368" t="s">
        <v>33</v>
      </c>
      <c r="P368" t="s">
        <v>61</v>
      </c>
      <c r="Q368" t="s">
        <v>330</v>
      </c>
      <c r="R368" t="s">
        <v>790</v>
      </c>
      <c r="S368" s="7">
        <v>52501</v>
      </c>
      <c r="T368" s="3">
        <v>42083</v>
      </c>
      <c r="U368" s="3">
        <v>42085</v>
      </c>
      <c r="V368" s="4">
        <v>40.482299999999995</v>
      </c>
      <c r="W368">
        <v>22</v>
      </c>
      <c r="X368">
        <v>58.67</v>
      </c>
      <c r="Y368" s="7">
        <v>88475</v>
      </c>
    </row>
    <row r="369" spans="1:25" ht="12.75" customHeight="1">
      <c r="A369">
        <v>24883</v>
      </c>
      <c r="B369" t="s">
        <v>56</v>
      </c>
      <c r="C369" s="4">
        <v>0.02</v>
      </c>
      <c r="D369" s="8">
        <v>48.91</v>
      </c>
      <c r="E369" s="4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 s="5">
        <v>0.38</v>
      </c>
      <c r="O369" t="s">
        <v>33</v>
      </c>
      <c r="P369" t="s">
        <v>61</v>
      </c>
      <c r="Q369" t="s">
        <v>330</v>
      </c>
      <c r="R369" t="s">
        <v>790</v>
      </c>
      <c r="S369" s="7">
        <v>52501</v>
      </c>
      <c r="T369" s="3">
        <v>42083</v>
      </c>
      <c r="U369" s="3">
        <v>42084</v>
      </c>
      <c r="V369" s="4">
        <v>32.86</v>
      </c>
      <c r="W369">
        <v>2</v>
      </c>
      <c r="X369">
        <v>101.06</v>
      </c>
      <c r="Y369" s="7">
        <v>88475</v>
      </c>
    </row>
    <row r="370" spans="1:25" ht="12.75" customHeight="1">
      <c r="A370">
        <v>18808</v>
      </c>
      <c r="B370" t="s">
        <v>106</v>
      </c>
      <c r="C370" s="4">
        <v>0.08</v>
      </c>
      <c r="D370" s="8">
        <v>296.18</v>
      </c>
      <c r="E370" s="4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 s="5">
        <v>0.76</v>
      </c>
      <c r="O370" t="s">
        <v>33</v>
      </c>
      <c r="P370" t="s">
        <v>136</v>
      </c>
      <c r="Q370" t="s">
        <v>137</v>
      </c>
      <c r="R370" t="s">
        <v>639</v>
      </c>
      <c r="S370" s="7">
        <v>22025</v>
      </c>
      <c r="T370" s="3">
        <v>42068</v>
      </c>
      <c r="U370" s="3">
        <v>42075</v>
      </c>
      <c r="V370" s="4">
        <v>-187.22199999999998</v>
      </c>
      <c r="W370">
        <v>5</v>
      </c>
      <c r="X370">
        <v>1429.81</v>
      </c>
      <c r="Y370" s="7">
        <v>88474</v>
      </c>
    </row>
    <row r="371" spans="1:25" ht="12.75" customHeight="1">
      <c r="A371">
        <v>19423</v>
      </c>
      <c r="B371" t="s">
        <v>106</v>
      </c>
      <c r="C371" s="4">
        <v>7.0000000000000007E-2</v>
      </c>
      <c r="D371" s="8">
        <v>2.88</v>
      </c>
      <c r="E371" s="4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 s="5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 s="7">
        <v>50208</v>
      </c>
      <c r="T371" s="3">
        <v>42040</v>
      </c>
      <c r="U371" s="3">
        <v>42044</v>
      </c>
      <c r="V371" s="4">
        <v>9.59</v>
      </c>
      <c r="W371">
        <v>12</v>
      </c>
      <c r="X371">
        <v>34.97</v>
      </c>
      <c r="Y371" s="7">
        <v>88173</v>
      </c>
    </row>
    <row r="372" spans="1:25" ht="12.75" customHeight="1">
      <c r="A372">
        <v>19424</v>
      </c>
      <c r="B372" t="s">
        <v>106</v>
      </c>
      <c r="C372" s="4">
        <v>0.1</v>
      </c>
      <c r="D372" s="8">
        <v>195.99</v>
      </c>
      <c r="E372" s="4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 s="5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 s="7">
        <v>50208</v>
      </c>
      <c r="T372" s="3">
        <v>42040</v>
      </c>
      <c r="U372" s="3">
        <v>42047</v>
      </c>
      <c r="V372" s="4">
        <v>-655.42399999999998</v>
      </c>
      <c r="W372">
        <v>2</v>
      </c>
      <c r="X372">
        <v>308.86</v>
      </c>
      <c r="Y372" s="7">
        <v>88173</v>
      </c>
    </row>
    <row r="373" spans="1:25" ht="12.75" customHeight="1">
      <c r="A373">
        <v>25059</v>
      </c>
      <c r="B373" t="s">
        <v>47</v>
      </c>
      <c r="C373" s="4">
        <v>0.06</v>
      </c>
      <c r="D373" s="8">
        <v>161.55000000000001</v>
      </c>
      <c r="E373" s="4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 s="5">
        <v>0.66</v>
      </c>
      <c r="O373" t="s">
        <v>33</v>
      </c>
      <c r="P373" t="s">
        <v>61</v>
      </c>
      <c r="Q373" t="s">
        <v>506</v>
      </c>
      <c r="R373" t="s">
        <v>797</v>
      </c>
      <c r="S373" s="7">
        <v>64133</v>
      </c>
      <c r="T373" s="3">
        <v>42006</v>
      </c>
      <c r="U373" s="3">
        <v>42007</v>
      </c>
      <c r="V373" s="4">
        <v>-7.5800000000000409</v>
      </c>
      <c r="W373">
        <v>3</v>
      </c>
      <c r="X373">
        <v>485.01</v>
      </c>
      <c r="Y373" s="7">
        <v>88174</v>
      </c>
    </row>
    <row r="374" spans="1:25" ht="12.75" customHeight="1">
      <c r="A374">
        <v>19326</v>
      </c>
      <c r="B374" t="s">
        <v>56</v>
      </c>
      <c r="C374" s="4">
        <v>0.04</v>
      </c>
      <c r="D374" s="8">
        <v>15.42</v>
      </c>
      <c r="E374" s="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 s="5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 s="7">
        <v>24281</v>
      </c>
      <c r="T374" s="3">
        <v>42116</v>
      </c>
      <c r="U374" s="3">
        <v>42117</v>
      </c>
      <c r="V374" s="4">
        <v>-109.70400000000001</v>
      </c>
      <c r="W374">
        <v>5</v>
      </c>
      <c r="X374">
        <v>81.14</v>
      </c>
      <c r="Y374" s="7">
        <v>88889</v>
      </c>
    </row>
    <row r="375" spans="1:25" ht="12.75" customHeight="1">
      <c r="A375">
        <v>21609</v>
      </c>
      <c r="B375" t="s">
        <v>56</v>
      </c>
      <c r="C375" s="4">
        <v>0.01</v>
      </c>
      <c r="D375" s="8">
        <v>3.95</v>
      </c>
      <c r="E375" s="4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 s="5">
        <v>0.59</v>
      </c>
      <c r="O375" t="s">
        <v>33</v>
      </c>
      <c r="P375" t="s">
        <v>34</v>
      </c>
      <c r="Q375" t="s">
        <v>35</v>
      </c>
      <c r="R375" t="s">
        <v>802</v>
      </c>
      <c r="S375" s="7">
        <v>98387</v>
      </c>
      <c r="T375" s="3">
        <v>42067</v>
      </c>
      <c r="U375" s="3">
        <v>42068</v>
      </c>
      <c r="V375" s="4">
        <v>-19.93</v>
      </c>
      <c r="W375">
        <v>2</v>
      </c>
      <c r="X375">
        <v>10.11</v>
      </c>
      <c r="Y375" s="7">
        <v>88890</v>
      </c>
    </row>
    <row r="376" spans="1:25" ht="12.75" customHeight="1">
      <c r="A376">
        <v>21610</v>
      </c>
      <c r="B376" t="s">
        <v>56</v>
      </c>
      <c r="C376" s="4">
        <v>0.02</v>
      </c>
      <c r="D376" s="8">
        <v>367.99</v>
      </c>
      <c r="E376" s="4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 s="5">
        <v>0.4</v>
      </c>
      <c r="O376" t="s">
        <v>33</v>
      </c>
      <c r="P376" t="s">
        <v>34</v>
      </c>
      <c r="Q376" t="s">
        <v>35</v>
      </c>
      <c r="R376" t="s">
        <v>802</v>
      </c>
      <c r="S376" s="7">
        <v>98387</v>
      </c>
      <c r="T376" s="3">
        <v>42067</v>
      </c>
      <c r="U376" s="3">
        <v>42068</v>
      </c>
      <c r="V376" s="4">
        <v>4568.6072999999997</v>
      </c>
      <c r="W376">
        <v>17</v>
      </c>
      <c r="X376">
        <v>6621.17</v>
      </c>
      <c r="Y376" s="7">
        <v>88890</v>
      </c>
    </row>
    <row r="377" spans="1:25" ht="12.75" customHeight="1">
      <c r="A377">
        <v>21612</v>
      </c>
      <c r="B377" t="s">
        <v>56</v>
      </c>
      <c r="C377" s="4">
        <v>0.04</v>
      </c>
      <c r="D377" s="8">
        <v>95.99</v>
      </c>
      <c r="E377" s="4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 s="5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 s="7">
        <v>99207</v>
      </c>
      <c r="T377" s="3">
        <v>42067</v>
      </c>
      <c r="U377" s="3">
        <v>42069</v>
      </c>
      <c r="V377" s="4">
        <v>-258.22500000000002</v>
      </c>
      <c r="W377">
        <v>3</v>
      </c>
      <c r="X377">
        <v>253.78</v>
      </c>
      <c r="Y377" s="7">
        <v>88890</v>
      </c>
    </row>
    <row r="378" spans="1:25" ht="12.75" customHeight="1">
      <c r="A378">
        <v>18555</v>
      </c>
      <c r="B378" t="s">
        <v>56</v>
      </c>
      <c r="C378" s="4">
        <v>0.06</v>
      </c>
      <c r="D378" s="8">
        <v>17.670000000000002</v>
      </c>
      <c r="E378" s="4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 s="5">
        <v>0.47</v>
      </c>
      <c r="O378" t="s">
        <v>33</v>
      </c>
      <c r="P378" t="s">
        <v>61</v>
      </c>
      <c r="Q378" t="s">
        <v>496</v>
      </c>
      <c r="R378" t="s">
        <v>808</v>
      </c>
      <c r="S378" s="7">
        <v>68046</v>
      </c>
      <c r="T378" s="3">
        <v>42101</v>
      </c>
      <c r="U378" s="3">
        <v>42102</v>
      </c>
      <c r="V378" s="4">
        <v>38.06</v>
      </c>
      <c r="W378">
        <v>4</v>
      </c>
      <c r="X378">
        <v>69.959999999999994</v>
      </c>
      <c r="Y378" s="7">
        <v>87765</v>
      </c>
    </row>
    <row r="379" spans="1:25" ht="12.75" customHeight="1">
      <c r="A379">
        <v>21411</v>
      </c>
      <c r="B379" t="s">
        <v>47</v>
      </c>
      <c r="C379" s="4">
        <v>7.0000000000000007E-2</v>
      </c>
      <c r="D379" s="8">
        <v>279.48</v>
      </c>
      <c r="E379" s="4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 s="5">
        <v>0.8</v>
      </c>
      <c r="O379" t="s">
        <v>33</v>
      </c>
      <c r="P379" t="s">
        <v>61</v>
      </c>
      <c r="Q379" t="s">
        <v>506</v>
      </c>
      <c r="R379" t="s">
        <v>811</v>
      </c>
      <c r="S379" s="7">
        <v>63116</v>
      </c>
      <c r="T379" s="3">
        <v>42140</v>
      </c>
      <c r="U379" s="3">
        <v>42140</v>
      </c>
      <c r="V379" s="4">
        <v>-207.28</v>
      </c>
      <c r="W379">
        <v>10</v>
      </c>
      <c r="X379">
        <v>2716.09</v>
      </c>
      <c r="Y379" s="7">
        <v>88503</v>
      </c>
    </row>
    <row r="380" spans="1:25" ht="12.75" customHeight="1">
      <c r="A380">
        <v>19325</v>
      </c>
      <c r="B380" t="s">
        <v>106</v>
      </c>
      <c r="C380" s="4">
        <v>0.06</v>
      </c>
      <c r="D380" s="8">
        <v>4.18</v>
      </c>
      <c r="E380" s="4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 s="5">
        <v>0.37</v>
      </c>
      <c r="O380" t="s">
        <v>33</v>
      </c>
      <c r="P380" t="s">
        <v>61</v>
      </c>
      <c r="Q380" t="s">
        <v>506</v>
      </c>
      <c r="R380" t="s">
        <v>811</v>
      </c>
      <c r="S380" s="7">
        <v>63116</v>
      </c>
      <c r="T380" s="3">
        <v>42069</v>
      </c>
      <c r="U380" s="3">
        <v>42071</v>
      </c>
      <c r="V380" s="4">
        <v>-12.719000000000001</v>
      </c>
      <c r="W380">
        <v>5</v>
      </c>
      <c r="X380">
        <v>21.34</v>
      </c>
      <c r="Y380" s="7">
        <v>88504</v>
      </c>
    </row>
    <row r="381" spans="1:25" ht="12.75" customHeight="1">
      <c r="A381">
        <v>26321</v>
      </c>
      <c r="B381" t="s">
        <v>56</v>
      </c>
      <c r="C381" s="4">
        <v>7.0000000000000007E-2</v>
      </c>
      <c r="D381" s="8">
        <v>1.7</v>
      </c>
      <c r="E381" s="4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 s="5">
        <v>0.51</v>
      </c>
      <c r="O381" t="s">
        <v>33</v>
      </c>
      <c r="P381" t="s">
        <v>61</v>
      </c>
      <c r="Q381" t="s">
        <v>506</v>
      </c>
      <c r="R381" t="s">
        <v>815</v>
      </c>
      <c r="S381" s="7">
        <v>63376</v>
      </c>
      <c r="T381" s="3">
        <v>42039</v>
      </c>
      <c r="U381" s="3">
        <v>42040</v>
      </c>
      <c r="V381" s="4">
        <v>-51.42</v>
      </c>
      <c r="W381">
        <v>10</v>
      </c>
      <c r="X381">
        <v>17.420000000000002</v>
      </c>
      <c r="Y381" s="7">
        <v>88502</v>
      </c>
    </row>
    <row r="382" spans="1:25" ht="12.75" customHeight="1">
      <c r="A382">
        <v>19933</v>
      </c>
      <c r="B382" t="s">
        <v>25</v>
      </c>
      <c r="C382" s="4">
        <v>0.09</v>
      </c>
      <c r="D382" s="8">
        <v>6.48</v>
      </c>
      <c r="E382" s="4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 s="5">
        <v>0.37</v>
      </c>
      <c r="O382" t="s">
        <v>33</v>
      </c>
      <c r="P382" t="s">
        <v>34</v>
      </c>
      <c r="Q382" t="s">
        <v>35</v>
      </c>
      <c r="R382" t="s">
        <v>818</v>
      </c>
      <c r="S382" s="7">
        <v>98408</v>
      </c>
      <c r="T382" s="3">
        <v>42084</v>
      </c>
      <c r="U382" s="3">
        <v>42085</v>
      </c>
      <c r="V382" s="4">
        <v>-88.6</v>
      </c>
      <c r="W382">
        <v>8</v>
      </c>
      <c r="X382">
        <v>49.81</v>
      </c>
      <c r="Y382" s="7">
        <v>89915</v>
      </c>
    </row>
    <row r="383" spans="1:25" ht="12.75" customHeight="1">
      <c r="A383">
        <v>19400</v>
      </c>
      <c r="B383" t="s">
        <v>106</v>
      </c>
      <c r="C383" s="4">
        <v>0.02</v>
      </c>
      <c r="D383" s="8">
        <v>500.98</v>
      </c>
      <c r="E383" s="4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 s="5">
        <v>0.66</v>
      </c>
      <c r="O383" t="s">
        <v>33</v>
      </c>
      <c r="P383" t="s">
        <v>34</v>
      </c>
      <c r="Q383" t="s">
        <v>255</v>
      </c>
      <c r="R383" t="s">
        <v>821</v>
      </c>
      <c r="S383" s="7">
        <v>80229</v>
      </c>
      <c r="T383" s="3">
        <v>42088</v>
      </c>
      <c r="U383" s="3">
        <v>42088</v>
      </c>
      <c r="V383" s="4">
        <v>2568.4628999999995</v>
      </c>
      <c r="W383">
        <v>7</v>
      </c>
      <c r="X383">
        <v>3722.41</v>
      </c>
      <c r="Y383" s="7">
        <v>87811</v>
      </c>
    </row>
    <row r="384" spans="1:25" ht="12.75" customHeight="1">
      <c r="A384">
        <v>18736</v>
      </c>
      <c r="B384" t="s">
        <v>106</v>
      </c>
      <c r="C384" s="4">
        <v>0.09</v>
      </c>
      <c r="D384" s="8">
        <v>5.34</v>
      </c>
      <c r="E384" s="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 s="5">
        <v>0.38</v>
      </c>
      <c r="O384" t="s">
        <v>33</v>
      </c>
      <c r="P384" t="s">
        <v>34</v>
      </c>
      <c r="Q384" t="s">
        <v>255</v>
      </c>
      <c r="R384" t="s">
        <v>821</v>
      </c>
      <c r="S384" s="7">
        <v>80229</v>
      </c>
      <c r="T384" s="3">
        <v>42071</v>
      </c>
      <c r="U384" s="3">
        <v>42078</v>
      </c>
      <c r="V384" s="4">
        <v>9.4860000000000007</v>
      </c>
      <c r="W384">
        <v>17</v>
      </c>
      <c r="X384">
        <v>95.1</v>
      </c>
      <c r="Y384" s="7">
        <v>87812</v>
      </c>
    </row>
    <row r="385" spans="1:25" ht="12.75" customHeight="1">
      <c r="A385">
        <v>18737</v>
      </c>
      <c r="B385" t="s">
        <v>106</v>
      </c>
      <c r="C385" s="4">
        <v>7.0000000000000007E-2</v>
      </c>
      <c r="D385" s="8">
        <v>140.97999999999999</v>
      </c>
      <c r="E385" s="4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 s="5">
        <v>0.65</v>
      </c>
      <c r="O385" t="s">
        <v>33</v>
      </c>
      <c r="P385" t="s">
        <v>34</v>
      </c>
      <c r="Q385" t="s">
        <v>255</v>
      </c>
      <c r="R385" t="s">
        <v>821</v>
      </c>
      <c r="S385" s="7">
        <v>80229</v>
      </c>
      <c r="T385" s="3">
        <v>42071</v>
      </c>
      <c r="U385" s="3">
        <v>42078</v>
      </c>
      <c r="V385" s="4">
        <v>-263.64999999999998</v>
      </c>
      <c r="W385">
        <v>5</v>
      </c>
      <c r="X385">
        <v>734.74</v>
      </c>
      <c r="Y385" s="7">
        <v>87812</v>
      </c>
    </row>
    <row r="386" spans="1:25" ht="12.75" customHeight="1">
      <c r="A386">
        <v>18738</v>
      </c>
      <c r="B386" t="s">
        <v>106</v>
      </c>
      <c r="C386" s="4">
        <v>0.06</v>
      </c>
      <c r="D386" s="8">
        <v>205.99</v>
      </c>
      <c r="E386" s="4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 s="5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 s="7">
        <v>80229</v>
      </c>
      <c r="T386" s="3">
        <v>42071</v>
      </c>
      <c r="U386" s="3">
        <v>42078</v>
      </c>
      <c r="V386" s="4">
        <v>890.18100000000004</v>
      </c>
      <c r="W386">
        <v>11</v>
      </c>
      <c r="X386">
        <v>1882.87</v>
      </c>
      <c r="Y386" s="7">
        <v>87812</v>
      </c>
    </row>
    <row r="387" spans="1:25" ht="12.75" customHeight="1">
      <c r="A387">
        <v>18810</v>
      </c>
      <c r="B387" t="s">
        <v>25</v>
      </c>
      <c r="C387" s="4">
        <v>0</v>
      </c>
      <c r="D387" s="8">
        <v>230.98</v>
      </c>
      <c r="E387" s="4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 s="5">
        <v>0.6</v>
      </c>
      <c r="O387" t="s">
        <v>33</v>
      </c>
      <c r="P387" t="s">
        <v>34</v>
      </c>
      <c r="Q387" t="s">
        <v>255</v>
      </c>
      <c r="R387" t="s">
        <v>821</v>
      </c>
      <c r="S387" s="7">
        <v>80229</v>
      </c>
      <c r="T387" s="3">
        <v>42129</v>
      </c>
      <c r="U387" s="3">
        <v>42131</v>
      </c>
      <c r="V387" s="4">
        <v>6095.8601999999992</v>
      </c>
      <c r="W387">
        <v>36</v>
      </c>
      <c r="X387">
        <v>8834.58</v>
      </c>
      <c r="Y387" s="7">
        <v>87813</v>
      </c>
    </row>
    <row r="388" spans="1:25" ht="12.75" customHeight="1">
      <c r="A388">
        <v>22613</v>
      </c>
      <c r="B388" t="s">
        <v>56</v>
      </c>
      <c r="C388" s="4">
        <v>0.06</v>
      </c>
      <c r="D388" s="8">
        <v>8.1199999999999992</v>
      </c>
      <c r="E388" s="4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 s="5">
        <v>0.77</v>
      </c>
      <c r="O388" t="s">
        <v>33</v>
      </c>
      <c r="P388" t="s">
        <v>61</v>
      </c>
      <c r="Q388" t="s">
        <v>703</v>
      </c>
      <c r="R388" t="s">
        <v>828</v>
      </c>
      <c r="S388" s="7">
        <v>46307</v>
      </c>
      <c r="T388" s="3">
        <v>42090</v>
      </c>
      <c r="U388" s="3">
        <v>42091</v>
      </c>
      <c r="V388" s="4">
        <v>-82.83</v>
      </c>
      <c r="W388">
        <v>10</v>
      </c>
      <c r="X388">
        <v>78.540000000000006</v>
      </c>
      <c r="Y388" s="7">
        <v>89847</v>
      </c>
    </row>
    <row r="389" spans="1:25" ht="12.75" customHeight="1">
      <c r="A389">
        <v>22614</v>
      </c>
      <c r="B389" t="s">
        <v>56</v>
      </c>
      <c r="C389" s="4">
        <v>0.05</v>
      </c>
      <c r="D389" s="8">
        <v>51.65</v>
      </c>
      <c r="E389" s="4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 s="5">
        <v>0.65</v>
      </c>
      <c r="O389" t="s">
        <v>33</v>
      </c>
      <c r="P389" t="s">
        <v>61</v>
      </c>
      <c r="Q389" t="s">
        <v>703</v>
      </c>
      <c r="R389" t="s">
        <v>828</v>
      </c>
      <c r="S389" s="7">
        <v>46307</v>
      </c>
      <c r="T389" s="3">
        <v>42090</v>
      </c>
      <c r="U389" s="3">
        <v>42091</v>
      </c>
      <c r="V389" s="4">
        <v>25.04</v>
      </c>
      <c r="W389">
        <v>12</v>
      </c>
      <c r="X389">
        <v>605.1</v>
      </c>
      <c r="Y389" s="7">
        <v>89847</v>
      </c>
    </row>
    <row r="390" spans="1:25" ht="12.75" customHeight="1">
      <c r="A390">
        <v>19225</v>
      </c>
      <c r="B390" t="s">
        <v>106</v>
      </c>
      <c r="C390" s="4">
        <v>0.1</v>
      </c>
      <c r="D390" s="8">
        <v>40.479999999999997</v>
      </c>
      <c r="E390" s="4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 s="5">
        <v>0.77</v>
      </c>
      <c r="O390" t="s">
        <v>33</v>
      </c>
      <c r="P390" t="s">
        <v>61</v>
      </c>
      <c r="Q390" t="s">
        <v>703</v>
      </c>
      <c r="R390" t="s">
        <v>828</v>
      </c>
      <c r="S390" s="7">
        <v>46307</v>
      </c>
      <c r="T390" s="3">
        <v>42101</v>
      </c>
      <c r="U390" s="3">
        <v>42103</v>
      </c>
      <c r="V390" s="4">
        <v>-580.32000000000005</v>
      </c>
      <c r="W390">
        <v>9</v>
      </c>
      <c r="X390">
        <v>355.84</v>
      </c>
      <c r="Y390" s="7">
        <v>89848</v>
      </c>
    </row>
    <row r="391" spans="1:25" ht="12.75" customHeight="1">
      <c r="A391">
        <v>22616</v>
      </c>
      <c r="B391" t="s">
        <v>56</v>
      </c>
      <c r="C391" s="4">
        <v>0.1</v>
      </c>
      <c r="D391" s="8">
        <v>175.99</v>
      </c>
      <c r="E391" s="4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 s="5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 s="7">
        <v>46312</v>
      </c>
      <c r="T391" s="3">
        <v>42090</v>
      </c>
      <c r="U391" s="3">
        <v>42091</v>
      </c>
      <c r="V391" s="4">
        <v>928.96079999999984</v>
      </c>
      <c r="W391">
        <v>10</v>
      </c>
      <c r="X391">
        <v>1346.32</v>
      </c>
      <c r="Y391" s="7">
        <v>89847</v>
      </c>
    </row>
    <row r="392" spans="1:25" ht="12.75" customHeight="1">
      <c r="A392">
        <v>25480</v>
      </c>
      <c r="B392" t="s">
        <v>47</v>
      </c>
      <c r="C392" s="4">
        <v>0.08</v>
      </c>
      <c r="D392" s="8">
        <v>14.81</v>
      </c>
      <c r="E392" s="4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 s="5">
        <v>0.43</v>
      </c>
      <c r="O392" t="s">
        <v>33</v>
      </c>
      <c r="P392" t="s">
        <v>61</v>
      </c>
      <c r="Q392" t="s">
        <v>703</v>
      </c>
      <c r="R392" t="s">
        <v>832</v>
      </c>
      <c r="S392" s="7">
        <v>46312</v>
      </c>
      <c r="T392" s="3">
        <v>42042</v>
      </c>
      <c r="U392" s="3">
        <v>42044</v>
      </c>
      <c r="V392" s="4">
        <v>-131.61720000000003</v>
      </c>
      <c r="W392">
        <v>20</v>
      </c>
      <c r="X392">
        <v>292.18</v>
      </c>
      <c r="Y392" s="7">
        <v>89849</v>
      </c>
    </row>
    <row r="393" spans="1:25" ht="12.75" customHeight="1">
      <c r="A393">
        <v>4613</v>
      </c>
      <c r="B393" t="s">
        <v>56</v>
      </c>
      <c r="C393" s="4">
        <v>0.06</v>
      </c>
      <c r="D393" s="8">
        <v>8.1199999999999992</v>
      </c>
      <c r="E393" s="4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 s="5">
        <v>0.77</v>
      </c>
      <c r="O393" t="s">
        <v>33</v>
      </c>
      <c r="P393" t="s">
        <v>34</v>
      </c>
      <c r="Q393" t="s">
        <v>35</v>
      </c>
      <c r="R393" t="s">
        <v>209</v>
      </c>
      <c r="S393" s="7">
        <v>98105</v>
      </c>
      <c r="T393" s="3">
        <v>42090</v>
      </c>
      <c r="U393" s="3">
        <v>42091</v>
      </c>
      <c r="V393" s="4">
        <v>-82.83</v>
      </c>
      <c r="W393">
        <v>41</v>
      </c>
      <c r="X393">
        <v>322.02999999999997</v>
      </c>
      <c r="Y393" s="7">
        <v>32869</v>
      </c>
    </row>
    <row r="394" spans="1:25" ht="12.75" customHeight="1">
      <c r="A394">
        <v>4614</v>
      </c>
      <c r="B394" t="s">
        <v>56</v>
      </c>
      <c r="C394" s="4">
        <v>0.05</v>
      </c>
      <c r="D394" s="8">
        <v>51.65</v>
      </c>
      <c r="E394" s="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 s="5">
        <v>0.65</v>
      </c>
      <c r="O394" t="s">
        <v>33</v>
      </c>
      <c r="P394" t="s">
        <v>34</v>
      </c>
      <c r="Q394" t="s">
        <v>35</v>
      </c>
      <c r="R394" t="s">
        <v>209</v>
      </c>
      <c r="S394" s="7">
        <v>98105</v>
      </c>
      <c r="T394" s="3">
        <v>42090</v>
      </c>
      <c r="U394" s="3">
        <v>42091</v>
      </c>
      <c r="V394" s="4">
        <v>25.04</v>
      </c>
      <c r="W394">
        <v>49</v>
      </c>
      <c r="X394">
        <v>2470.84</v>
      </c>
      <c r="Y394" s="7">
        <v>32869</v>
      </c>
    </row>
    <row r="395" spans="1:25" ht="12.75" customHeight="1">
      <c r="A395">
        <v>4616</v>
      </c>
      <c r="B395" t="s">
        <v>56</v>
      </c>
      <c r="C395" s="4">
        <v>0.1</v>
      </c>
      <c r="D395" s="8">
        <v>175.99</v>
      </c>
      <c r="E395" s="4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 s="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 s="7">
        <v>98105</v>
      </c>
      <c r="T395" s="3">
        <v>42090</v>
      </c>
      <c r="U395" s="3">
        <v>42091</v>
      </c>
      <c r="V395" s="4">
        <v>930.98700000000008</v>
      </c>
      <c r="W395">
        <v>39</v>
      </c>
      <c r="X395">
        <v>5250.66</v>
      </c>
      <c r="Y395" s="7">
        <v>32869</v>
      </c>
    </row>
    <row r="396" spans="1:25" ht="12.75" customHeight="1">
      <c r="A396">
        <v>1225</v>
      </c>
      <c r="B396" t="s">
        <v>106</v>
      </c>
      <c r="C396" s="4">
        <v>0.1</v>
      </c>
      <c r="D396" s="8">
        <v>40.479999999999997</v>
      </c>
      <c r="E396" s="4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 s="5">
        <v>0.77</v>
      </c>
      <c r="O396" t="s">
        <v>33</v>
      </c>
      <c r="P396" t="s">
        <v>34</v>
      </c>
      <c r="Q396" t="s">
        <v>35</v>
      </c>
      <c r="R396" t="s">
        <v>209</v>
      </c>
      <c r="S396" s="7">
        <v>98105</v>
      </c>
      <c r="T396" s="3">
        <v>42101</v>
      </c>
      <c r="U396" s="3">
        <v>42103</v>
      </c>
      <c r="V396" s="4">
        <v>-580.32000000000005</v>
      </c>
      <c r="W396">
        <v>36</v>
      </c>
      <c r="X396">
        <v>1423.35</v>
      </c>
      <c r="Y396" s="7">
        <v>8994</v>
      </c>
    </row>
    <row r="397" spans="1:25" ht="12.75" customHeight="1">
      <c r="A397">
        <v>7480</v>
      </c>
      <c r="B397" t="s">
        <v>47</v>
      </c>
      <c r="C397" s="4">
        <v>0.08</v>
      </c>
      <c r="D397" s="8">
        <v>14.81</v>
      </c>
      <c r="E397" s="4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 s="5">
        <v>0.43</v>
      </c>
      <c r="O397" t="s">
        <v>33</v>
      </c>
      <c r="P397" t="s">
        <v>34</v>
      </c>
      <c r="Q397" t="s">
        <v>35</v>
      </c>
      <c r="R397" t="s">
        <v>209</v>
      </c>
      <c r="S397" s="7">
        <v>98105</v>
      </c>
      <c r="T397" s="3">
        <v>42042</v>
      </c>
      <c r="U397" s="3">
        <v>42044</v>
      </c>
      <c r="V397" s="4">
        <v>-253.11</v>
      </c>
      <c r="W397">
        <v>79</v>
      </c>
      <c r="X397">
        <v>1154.1199999999999</v>
      </c>
      <c r="Y397" s="7">
        <v>53410</v>
      </c>
    </row>
    <row r="398" spans="1:25" ht="12.75" customHeight="1">
      <c r="A398">
        <v>6289</v>
      </c>
      <c r="B398" t="s">
        <v>56</v>
      </c>
      <c r="C398" s="4">
        <v>0.03</v>
      </c>
      <c r="D398" s="8">
        <v>5.28</v>
      </c>
      <c r="E398" s="4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 s="5">
        <v>0.4</v>
      </c>
      <c r="O398" t="s">
        <v>33</v>
      </c>
      <c r="P398" t="s">
        <v>34</v>
      </c>
      <c r="Q398" t="s">
        <v>45</v>
      </c>
      <c r="R398" t="s">
        <v>663</v>
      </c>
      <c r="S398" s="7">
        <v>90041</v>
      </c>
      <c r="T398" s="3">
        <v>42117</v>
      </c>
      <c r="U398" s="3">
        <v>42118</v>
      </c>
      <c r="V398" s="4">
        <v>-16.670000000000002</v>
      </c>
      <c r="W398">
        <v>5</v>
      </c>
      <c r="X398">
        <v>32.5</v>
      </c>
      <c r="Y398" s="7">
        <v>44517</v>
      </c>
    </row>
    <row r="399" spans="1:25" ht="12.75" customHeight="1">
      <c r="A399">
        <v>7733</v>
      </c>
      <c r="B399" t="s">
        <v>47</v>
      </c>
      <c r="C399" s="4">
        <v>0.02</v>
      </c>
      <c r="D399" s="8">
        <v>6.47</v>
      </c>
      <c r="E399" s="4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 s="5">
        <v>0.4</v>
      </c>
      <c r="O399" t="s">
        <v>33</v>
      </c>
      <c r="P399" t="s">
        <v>34</v>
      </c>
      <c r="Q399" t="s">
        <v>45</v>
      </c>
      <c r="R399" t="s">
        <v>663</v>
      </c>
      <c r="S399" s="7">
        <v>90041</v>
      </c>
      <c r="T399" s="3">
        <v>42161</v>
      </c>
      <c r="U399" s="3">
        <v>42162</v>
      </c>
      <c r="V399" s="4">
        <v>40.200000000000003</v>
      </c>
      <c r="W399">
        <v>30</v>
      </c>
      <c r="X399">
        <v>193.95</v>
      </c>
      <c r="Y399" s="7">
        <v>55392</v>
      </c>
    </row>
    <row r="400" spans="1:25" ht="12.75" customHeight="1">
      <c r="A400">
        <v>7734</v>
      </c>
      <c r="B400" t="s">
        <v>47</v>
      </c>
      <c r="C400" s="4">
        <v>7.0000000000000007E-2</v>
      </c>
      <c r="D400" s="8">
        <v>2.84</v>
      </c>
      <c r="E400" s="4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 s="5">
        <v>0.54</v>
      </c>
      <c r="O400" t="s">
        <v>33</v>
      </c>
      <c r="P400" t="s">
        <v>34</v>
      </c>
      <c r="Q400" t="s">
        <v>45</v>
      </c>
      <c r="R400" t="s">
        <v>663</v>
      </c>
      <c r="S400" s="7">
        <v>90041</v>
      </c>
      <c r="T400" s="3">
        <v>42161</v>
      </c>
      <c r="U400" s="3">
        <v>42163</v>
      </c>
      <c r="V400" s="4">
        <v>3.21</v>
      </c>
      <c r="W400">
        <v>59</v>
      </c>
      <c r="X400">
        <v>158.80000000000001</v>
      </c>
      <c r="Y400" s="7">
        <v>55392</v>
      </c>
    </row>
    <row r="401" spans="1:25" ht="12.75" customHeight="1">
      <c r="A401">
        <v>5140</v>
      </c>
      <c r="B401" t="s">
        <v>25</v>
      </c>
      <c r="C401" s="4">
        <v>0.01</v>
      </c>
      <c r="D401" s="8">
        <v>7.89</v>
      </c>
      <c r="E401" s="4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 s="5">
        <v>0.4</v>
      </c>
      <c r="O401" t="s">
        <v>33</v>
      </c>
      <c r="P401" t="s">
        <v>34</v>
      </c>
      <c r="Q401" t="s">
        <v>45</v>
      </c>
      <c r="R401" t="s">
        <v>663</v>
      </c>
      <c r="S401" s="7">
        <v>90041</v>
      </c>
      <c r="T401" s="3">
        <v>42185</v>
      </c>
      <c r="U401" s="3">
        <v>42186</v>
      </c>
      <c r="V401" s="4">
        <v>38.700000000000003</v>
      </c>
      <c r="W401">
        <v>32</v>
      </c>
      <c r="X401">
        <v>274.26</v>
      </c>
      <c r="Y401" s="7">
        <v>36647</v>
      </c>
    </row>
    <row r="402" spans="1:25" ht="12.75" customHeight="1">
      <c r="A402">
        <v>5141</v>
      </c>
      <c r="B402" t="s">
        <v>25</v>
      </c>
      <c r="C402" s="4">
        <v>0.09</v>
      </c>
      <c r="D402" s="8">
        <v>3.68</v>
      </c>
      <c r="E402" s="4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 s="5">
        <v>0.83</v>
      </c>
      <c r="O402" t="s">
        <v>33</v>
      </c>
      <c r="P402" t="s">
        <v>34</v>
      </c>
      <c r="Q402" t="s">
        <v>45</v>
      </c>
      <c r="R402" t="s">
        <v>663</v>
      </c>
      <c r="S402" s="7">
        <v>90041</v>
      </c>
      <c r="T402" s="3">
        <v>42185</v>
      </c>
      <c r="U402" s="3">
        <v>42186</v>
      </c>
      <c r="V402" s="4">
        <v>-21.91</v>
      </c>
      <c r="W402">
        <v>24</v>
      </c>
      <c r="X402">
        <v>83.16</v>
      </c>
      <c r="Y402" s="7">
        <v>36647</v>
      </c>
    </row>
    <row r="403" spans="1:25" ht="12.75" customHeight="1">
      <c r="A403">
        <v>5142</v>
      </c>
      <c r="B403" t="s">
        <v>25</v>
      </c>
      <c r="C403" s="4">
        <v>0.1</v>
      </c>
      <c r="D403" s="8">
        <v>9.7100000000000009</v>
      </c>
      <c r="E403" s="4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 s="5">
        <v>0.6</v>
      </c>
      <c r="O403" t="s">
        <v>33</v>
      </c>
      <c r="P403" t="s">
        <v>34</v>
      </c>
      <c r="Q403" t="s">
        <v>45</v>
      </c>
      <c r="R403" t="s">
        <v>663</v>
      </c>
      <c r="S403" s="7">
        <v>90041</v>
      </c>
      <c r="T403" s="3">
        <v>42185</v>
      </c>
      <c r="U403" s="3">
        <v>42188</v>
      </c>
      <c r="V403" s="4">
        <v>-119.77</v>
      </c>
      <c r="W403">
        <v>27</v>
      </c>
      <c r="X403">
        <v>261.93</v>
      </c>
      <c r="Y403" s="7">
        <v>36647</v>
      </c>
    </row>
    <row r="404" spans="1:25" ht="12.75" customHeight="1">
      <c r="A404">
        <v>4556</v>
      </c>
      <c r="B404" t="s">
        <v>56</v>
      </c>
      <c r="C404" s="4">
        <v>7.0000000000000007E-2</v>
      </c>
      <c r="D404" s="8">
        <v>5.0199999999999996</v>
      </c>
      <c r="E404" s="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 s="5">
        <v>0.79</v>
      </c>
      <c r="O404" t="s">
        <v>33</v>
      </c>
      <c r="P404" t="s">
        <v>34</v>
      </c>
      <c r="Q404" t="s">
        <v>45</v>
      </c>
      <c r="R404" t="s">
        <v>663</v>
      </c>
      <c r="S404" s="7">
        <v>90041</v>
      </c>
      <c r="T404" s="3">
        <v>42033</v>
      </c>
      <c r="U404" s="3">
        <v>42035</v>
      </c>
      <c r="V404" s="4">
        <v>-168.72</v>
      </c>
      <c r="W404">
        <v>42</v>
      </c>
      <c r="X404">
        <v>210.1</v>
      </c>
      <c r="Y404" s="7">
        <v>32420</v>
      </c>
    </row>
    <row r="405" spans="1:25" ht="12.75" customHeight="1">
      <c r="A405">
        <v>4557</v>
      </c>
      <c r="B405" t="s">
        <v>56</v>
      </c>
      <c r="C405" s="4">
        <v>7.0000000000000007E-2</v>
      </c>
      <c r="D405" s="8">
        <v>280.98</v>
      </c>
      <c r="E405" s="4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 s="5">
        <v>0.78</v>
      </c>
      <c r="O405" t="s">
        <v>33</v>
      </c>
      <c r="P405" t="s">
        <v>34</v>
      </c>
      <c r="Q405" t="s">
        <v>45</v>
      </c>
      <c r="R405" t="s">
        <v>663</v>
      </c>
      <c r="S405" s="7">
        <v>90041</v>
      </c>
      <c r="T405" s="3">
        <v>42033</v>
      </c>
      <c r="U405" s="3">
        <v>42035</v>
      </c>
      <c r="V405" s="4">
        <v>-439.62</v>
      </c>
      <c r="W405">
        <v>23</v>
      </c>
      <c r="X405">
        <v>6499.87</v>
      </c>
      <c r="Y405" s="7">
        <v>32420</v>
      </c>
    </row>
    <row r="406" spans="1:25" ht="12.75" customHeight="1">
      <c r="A406">
        <v>448</v>
      </c>
      <c r="B406" t="s">
        <v>56</v>
      </c>
      <c r="C406" s="4">
        <v>0.1</v>
      </c>
      <c r="D406" s="8">
        <v>4.26</v>
      </c>
      <c r="E406" s="4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 s="5">
        <v>0.44</v>
      </c>
      <c r="O406" t="s">
        <v>33</v>
      </c>
      <c r="P406" t="s">
        <v>34</v>
      </c>
      <c r="Q406" t="s">
        <v>45</v>
      </c>
      <c r="R406" t="s">
        <v>663</v>
      </c>
      <c r="S406" s="7">
        <v>90041</v>
      </c>
      <c r="T406" s="3">
        <v>42144</v>
      </c>
      <c r="U406" s="3">
        <v>42145</v>
      </c>
      <c r="V406" s="4">
        <v>15.42</v>
      </c>
      <c r="W406">
        <v>88</v>
      </c>
      <c r="X406">
        <v>351.56</v>
      </c>
      <c r="Y406" s="7">
        <v>3042</v>
      </c>
    </row>
    <row r="407" spans="1:25" ht="12.75" customHeight="1">
      <c r="A407">
        <v>18448</v>
      </c>
      <c r="B407" t="s">
        <v>56</v>
      </c>
      <c r="C407" s="4">
        <v>0.1</v>
      </c>
      <c r="D407" s="8">
        <v>4.26</v>
      </c>
      <c r="E407" s="4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 s="5">
        <v>0.44</v>
      </c>
      <c r="O407" t="s">
        <v>33</v>
      </c>
      <c r="P407" t="s">
        <v>34</v>
      </c>
      <c r="Q407" t="s">
        <v>45</v>
      </c>
      <c r="R407" t="s">
        <v>756</v>
      </c>
      <c r="S407" s="7">
        <v>93454</v>
      </c>
      <c r="T407" s="3">
        <v>42144</v>
      </c>
      <c r="U407" s="3">
        <v>42145</v>
      </c>
      <c r="V407" s="4">
        <v>33.923999999999999</v>
      </c>
      <c r="W407">
        <v>22</v>
      </c>
      <c r="X407">
        <v>87.89</v>
      </c>
      <c r="Y407" s="7">
        <v>87980</v>
      </c>
    </row>
    <row r="408" spans="1:25" ht="12.75" customHeight="1">
      <c r="A408">
        <v>24289</v>
      </c>
      <c r="B408" t="s">
        <v>56</v>
      </c>
      <c r="C408" s="4">
        <v>0.03</v>
      </c>
      <c r="D408" s="8">
        <v>5.28</v>
      </c>
      <c r="E408" s="4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 s="5">
        <v>0.4</v>
      </c>
      <c r="O408" t="s">
        <v>33</v>
      </c>
      <c r="P408" t="s">
        <v>34</v>
      </c>
      <c r="Q408" t="s">
        <v>45</v>
      </c>
      <c r="R408" t="s">
        <v>843</v>
      </c>
      <c r="S408" s="7">
        <v>95404</v>
      </c>
      <c r="T408" s="3">
        <v>42117</v>
      </c>
      <c r="U408" s="3">
        <v>42118</v>
      </c>
      <c r="V408" s="4">
        <v>-16.670000000000002</v>
      </c>
      <c r="W408">
        <v>1</v>
      </c>
      <c r="X408">
        <v>6.5</v>
      </c>
      <c r="Y408" s="7">
        <v>87977</v>
      </c>
    </row>
    <row r="409" spans="1:25" ht="12.75" customHeight="1">
      <c r="A409">
        <v>23140</v>
      </c>
      <c r="B409" t="s">
        <v>25</v>
      </c>
      <c r="C409" s="4">
        <v>0.01</v>
      </c>
      <c r="D409" s="8">
        <v>7.89</v>
      </c>
      <c r="E409" s="4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 s="5">
        <v>0.4</v>
      </c>
      <c r="O409" t="s">
        <v>33</v>
      </c>
      <c r="P409" t="s">
        <v>34</v>
      </c>
      <c r="Q409" t="s">
        <v>45</v>
      </c>
      <c r="R409" t="s">
        <v>843</v>
      </c>
      <c r="S409" s="7">
        <v>95404</v>
      </c>
      <c r="T409" s="3">
        <v>42185</v>
      </c>
      <c r="U409" s="3">
        <v>42186</v>
      </c>
      <c r="V409" s="4">
        <v>46.440000000000005</v>
      </c>
      <c r="W409">
        <v>8</v>
      </c>
      <c r="X409">
        <v>68.56</v>
      </c>
      <c r="Y409" s="7">
        <v>87979</v>
      </c>
    </row>
    <row r="410" spans="1:25" ht="12.75" customHeight="1">
      <c r="A410">
        <v>23141</v>
      </c>
      <c r="B410" t="s">
        <v>25</v>
      </c>
      <c r="C410" s="4">
        <v>0.09</v>
      </c>
      <c r="D410" s="8">
        <v>3.68</v>
      </c>
      <c r="E410" s="4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 s="5">
        <v>0.83</v>
      </c>
      <c r="O410" t="s">
        <v>33</v>
      </c>
      <c r="P410" t="s">
        <v>34</v>
      </c>
      <c r="Q410" t="s">
        <v>45</v>
      </c>
      <c r="R410" t="s">
        <v>843</v>
      </c>
      <c r="S410" s="7">
        <v>95404</v>
      </c>
      <c r="T410" s="3">
        <v>42185</v>
      </c>
      <c r="U410" s="3">
        <v>42186</v>
      </c>
      <c r="V410" s="4">
        <v>-17.527999999999999</v>
      </c>
      <c r="W410">
        <v>6</v>
      </c>
      <c r="X410">
        <v>20.79</v>
      </c>
      <c r="Y410" s="7">
        <v>87979</v>
      </c>
    </row>
    <row r="411" spans="1:25" ht="12.75" customHeight="1">
      <c r="A411">
        <v>23142</v>
      </c>
      <c r="B411" t="s">
        <v>25</v>
      </c>
      <c r="C411" s="4">
        <v>0.1</v>
      </c>
      <c r="D411" s="8">
        <v>9.7100000000000009</v>
      </c>
      <c r="E411" s="4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 s="5">
        <v>0.6</v>
      </c>
      <c r="O411" t="s">
        <v>33</v>
      </c>
      <c r="P411" t="s">
        <v>34</v>
      </c>
      <c r="Q411" t="s">
        <v>45</v>
      </c>
      <c r="R411" t="s">
        <v>843</v>
      </c>
      <c r="S411" s="7">
        <v>95404</v>
      </c>
      <c r="T411" s="3">
        <v>42185</v>
      </c>
      <c r="U411" s="3">
        <v>42188</v>
      </c>
      <c r="V411" s="4">
        <v>-95.816000000000003</v>
      </c>
      <c r="W411">
        <v>7</v>
      </c>
      <c r="X411">
        <v>67.91</v>
      </c>
      <c r="Y411" s="7">
        <v>87979</v>
      </c>
    </row>
    <row r="412" spans="1:25" ht="12.75" customHeight="1">
      <c r="A412">
        <v>25734</v>
      </c>
      <c r="B412" t="s">
        <v>47</v>
      </c>
      <c r="C412" s="4">
        <v>7.0000000000000007E-2</v>
      </c>
      <c r="D412" s="8">
        <v>2.84</v>
      </c>
      <c r="E412" s="4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 s="5">
        <v>0.54</v>
      </c>
      <c r="O412" t="s">
        <v>33</v>
      </c>
      <c r="P412" t="s">
        <v>53</v>
      </c>
      <c r="Q412" t="s">
        <v>193</v>
      </c>
      <c r="R412" t="s">
        <v>845</v>
      </c>
      <c r="S412" s="7">
        <v>2152</v>
      </c>
      <c r="T412" s="3">
        <v>42161</v>
      </c>
      <c r="U412" s="3">
        <v>42163</v>
      </c>
      <c r="V412" s="4">
        <v>3.8519999999999999</v>
      </c>
      <c r="W412">
        <v>15</v>
      </c>
      <c r="X412">
        <v>40.369999999999997</v>
      </c>
      <c r="Y412" s="7">
        <v>87978</v>
      </c>
    </row>
    <row r="413" spans="1:25" ht="12.75" customHeight="1">
      <c r="A413">
        <v>20789</v>
      </c>
      <c r="B413" t="s">
        <v>37</v>
      </c>
      <c r="C413" s="4">
        <v>0</v>
      </c>
      <c r="D413" s="8">
        <v>8.5</v>
      </c>
      <c r="E413" s="4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 s="5">
        <v>0.49</v>
      </c>
      <c r="O413" t="s">
        <v>33</v>
      </c>
      <c r="P413" t="s">
        <v>34</v>
      </c>
      <c r="Q413" t="s">
        <v>533</v>
      </c>
      <c r="R413" t="s">
        <v>848</v>
      </c>
      <c r="S413" s="7">
        <v>89041</v>
      </c>
      <c r="T413" s="3">
        <v>42063</v>
      </c>
      <c r="U413" s="3">
        <v>42065</v>
      </c>
      <c r="V413" s="4">
        <v>71.735600000000005</v>
      </c>
      <c r="W413">
        <v>14</v>
      </c>
      <c r="X413">
        <v>122.25</v>
      </c>
      <c r="Y413" s="7">
        <v>89344</v>
      </c>
    </row>
    <row r="414" spans="1:25" ht="12.75" customHeight="1">
      <c r="A414">
        <v>20790</v>
      </c>
      <c r="B414" t="s">
        <v>37</v>
      </c>
      <c r="C414" s="4">
        <v>0.03</v>
      </c>
      <c r="D414" s="8">
        <v>95.43</v>
      </c>
      <c r="E414" s="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 s="5">
        <v>0.79</v>
      </c>
      <c r="O414" t="s">
        <v>33</v>
      </c>
      <c r="P414" t="s">
        <v>34</v>
      </c>
      <c r="Q414" t="s">
        <v>533</v>
      </c>
      <c r="R414" t="s">
        <v>848</v>
      </c>
      <c r="S414" s="7">
        <v>89041</v>
      </c>
      <c r="T414" s="3">
        <v>42063</v>
      </c>
      <c r="U414" s="3">
        <v>42065</v>
      </c>
      <c r="V414" s="4">
        <v>-79.320800000000006</v>
      </c>
      <c r="W414">
        <v>2</v>
      </c>
      <c r="X414">
        <v>206.09</v>
      </c>
      <c r="Y414" s="7">
        <v>89344</v>
      </c>
    </row>
    <row r="415" spans="1:25" ht="12.75" customHeight="1">
      <c r="A415">
        <v>20633</v>
      </c>
      <c r="B415" t="s">
        <v>37</v>
      </c>
      <c r="C415" s="4">
        <v>0.04</v>
      </c>
      <c r="D415" s="8">
        <v>10.64</v>
      </c>
      <c r="E415" s="4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 s="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 s="7">
        <v>46041</v>
      </c>
      <c r="T415" s="3">
        <v>42179</v>
      </c>
      <c r="U415" s="3">
        <v>42180</v>
      </c>
      <c r="V415" s="4">
        <v>24.095999999999997</v>
      </c>
      <c r="W415">
        <v>6</v>
      </c>
      <c r="X415">
        <v>66.900000000000006</v>
      </c>
      <c r="Y415" s="7">
        <v>91053</v>
      </c>
    </row>
    <row r="416" spans="1:25" ht="12.75" customHeight="1">
      <c r="A416">
        <v>20634</v>
      </c>
      <c r="B416" t="s">
        <v>37</v>
      </c>
      <c r="C416" s="4">
        <v>0.03</v>
      </c>
      <c r="D416" s="8">
        <v>2.78</v>
      </c>
      <c r="E416" s="4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 s="5">
        <v>0.45</v>
      </c>
      <c r="O416" t="s">
        <v>33</v>
      </c>
      <c r="P416" t="s">
        <v>61</v>
      </c>
      <c r="Q416" t="s">
        <v>703</v>
      </c>
      <c r="R416" t="s">
        <v>852</v>
      </c>
      <c r="S416" s="7">
        <v>46041</v>
      </c>
      <c r="T416" s="3">
        <v>42179</v>
      </c>
      <c r="U416" s="3">
        <v>42181</v>
      </c>
      <c r="V416" s="4">
        <v>6.9719999999999995</v>
      </c>
      <c r="W416">
        <v>15</v>
      </c>
      <c r="X416">
        <v>43.13</v>
      </c>
      <c r="Y416" s="7">
        <v>91053</v>
      </c>
    </row>
    <row r="417" spans="1:25" ht="12.75" customHeight="1">
      <c r="A417">
        <v>24574</v>
      </c>
      <c r="B417" t="s">
        <v>56</v>
      </c>
      <c r="C417" s="4">
        <v>0.01</v>
      </c>
      <c r="D417" s="8">
        <v>7.28</v>
      </c>
      <c r="E417" s="4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 s="5">
        <v>0.37</v>
      </c>
      <c r="O417" t="s">
        <v>33</v>
      </c>
      <c r="P417" t="s">
        <v>61</v>
      </c>
      <c r="Q417" t="s">
        <v>703</v>
      </c>
      <c r="R417" t="s">
        <v>852</v>
      </c>
      <c r="S417" s="7">
        <v>46041</v>
      </c>
      <c r="T417" s="3">
        <v>42105</v>
      </c>
      <c r="U417" s="3">
        <v>42107</v>
      </c>
      <c r="V417" s="4">
        <v>-24.245999999999999</v>
      </c>
      <c r="W417">
        <v>1</v>
      </c>
      <c r="X417">
        <v>11.21</v>
      </c>
      <c r="Y417" s="7">
        <v>91054</v>
      </c>
    </row>
    <row r="418" spans="1:25" ht="12.75" customHeight="1">
      <c r="A418">
        <v>19601</v>
      </c>
      <c r="B418" t="s">
        <v>56</v>
      </c>
      <c r="C418" s="4">
        <v>0.09</v>
      </c>
      <c r="D418" s="8">
        <v>125.99</v>
      </c>
      <c r="E418" s="4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 s="5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 s="7">
        <v>6614</v>
      </c>
      <c r="T418" s="3">
        <v>42078</v>
      </c>
      <c r="U418" s="3">
        <v>42079</v>
      </c>
      <c r="V418" s="4">
        <v>-605.37400000000002</v>
      </c>
      <c r="W418">
        <v>1</v>
      </c>
      <c r="X418">
        <v>100.38</v>
      </c>
      <c r="Y418" s="7">
        <v>90359</v>
      </c>
    </row>
    <row r="419" spans="1:25" ht="12.75" customHeight="1">
      <c r="A419">
        <v>19600</v>
      </c>
      <c r="B419" t="s">
        <v>56</v>
      </c>
      <c r="C419" s="4">
        <v>0.1</v>
      </c>
      <c r="D419" s="8">
        <v>17.98</v>
      </c>
      <c r="E419" s="4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 s="5">
        <v>0.79</v>
      </c>
      <c r="O419" t="s">
        <v>33</v>
      </c>
      <c r="P419" t="s">
        <v>53</v>
      </c>
      <c r="Q419" t="s">
        <v>188</v>
      </c>
      <c r="R419" t="s">
        <v>476</v>
      </c>
      <c r="S419" s="7">
        <v>4240</v>
      </c>
      <c r="T419" s="3">
        <v>42078</v>
      </c>
      <c r="U419" s="3">
        <v>42079</v>
      </c>
      <c r="V419" s="4">
        <v>-99.55</v>
      </c>
      <c r="W419">
        <v>4</v>
      </c>
      <c r="X419">
        <v>66.319999999999993</v>
      </c>
      <c r="Y419" s="7">
        <v>90359</v>
      </c>
    </row>
    <row r="420" spans="1:25" ht="12.75" customHeight="1">
      <c r="A420">
        <v>23436</v>
      </c>
      <c r="B420" t="s">
        <v>25</v>
      </c>
      <c r="C420" s="4">
        <v>0.09</v>
      </c>
      <c r="D420" s="8">
        <v>101.41</v>
      </c>
      <c r="E420" s="4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 s="5">
        <v>0.82</v>
      </c>
      <c r="O420" t="s">
        <v>33</v>
      </c>
      <c r="P420" t="s">
        <v>53</v>
      </c>
      <c r="Q420" t="s">
        <v>193</v>
      </c>
      <c r="R420" t="s">
        <v>150</v>
      </c>
      <c r="S420" s="7">
        <v>1803</v>
      </c>
      <c r="T420" s="3">
        <v>42120</v>
      </c>
      <c r="U420" s="3">
        <v>42121</v>
      </c>
      <c r="V420" s="4">
        <v>-801.15479999999991</v>
      </c>
      <c r="W420">
        <v>12</v>
      </c>
      <c r="X420">
        <v>1178.32</v>
      </c>
      <c r="Y420" s="7">
        <v>90362</v>
      </c>
    </row>
    <row r="421" spans="1:25" ht="12.75" customHeight="1">
      <c r="A421">
        <v>21950</v>
      </c>
      <c r="B421" t="s">
        <v>37</v>
      </c>
      <c r="C421" s="4">
        <v>0.06</v>
      </c>
      <c r="D421" s="8">
        <v>350.98</v>
      </c>
      <c r="E421" s="4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 s="5">
        <v>0.61</v>
      </c>
      <c r="O421" t="s">
        <v>33</v>
      </c>
      <c r="P421" t="s">
        <v>53</v>
      </c>
      <c r="Q421" t="s">
        <v>197</v>
      </c>
      <c r="R421" t="s">
        <v>138</v>
      </c>
      <c r="S421" s="7">
        <v>3079</v>
      </c>
      <c r="T421" s="3">
        <v>42170</v>
      </c>
      <c r="U421" s="3">
        <v>42172</v>
      </c>
      <c r="V421" s="4">
        <v>797.85599999999999</v>
      </c>
      <c r="W421">
        <v>6</v>
      </c>
      <c r="X421">
        <v>2016.32</v>
      </c>
      <c r="Y421" s="7">
        <v>90361</v>
      </c>
    </row>
    <row r="422" spans="1:25" ht="12.75" customHeight="1">
      <c r="A422">
        <v>23613</v>
      </c>
      <c r="B422" t="s">
        <v>106</v>
      </c>
      <c r="C422" s="4">
        <v>0.02</v>
      </c>
      <c r="D422" s="8">
        <v>48.04</v>
      </c>
      <c r="E422" s="4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 s="5">
        <v>0.37</v>
      </c>
      <c r="O422" t="s">
        <v>33</v>
      </c>
      <c r="P422" t="s">
        <v>53</v>
      </c>
      <c r="Q422" t="s">
        <v>54</v>
      </c>
      <c r="R422" t="s">
        <v>865</v>
      </c>
      <c r="S422" s="7">
        <v>7003</v>
      </c>
      <c r="T422" s="3">
        <v>42162</v>
      </c>
      <c r="U422" s="3">
        <v>42169</v>
      </c>
      <c r="V422" s="4">
        <v>422.45249999999999</v>
      </c>
      <c r="W422">
        <v>12</v>
      </c>
      <c r="X422">
        <v>612.25</v>
      </c>
      <c r="Y422" s="7">
        <v>90360</v>
      </c>
    </row>
    <row r="423" spans="1:25" ht="12.75" customHeight="1">
      <c r="A423">
        <v>21949</v>
      </c>
      <c r="B423" t="s">
        <v>37</v>
      </c>
      <c r="C423" s="4">
        <v>0.02</v>
      </c>
      <c r="D423" s="8">
        <v>70.98</v>
      </c>
      <c r="E423" s="4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 s="5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 s="7">
        <v>7016</v>
      </c>
      <c r="T423" s="3">
        <v>42170</v>
      </c>
      <c r="U423" s="3">
        <v>42171</v>
      </c>
      <c r="V423" s="4">
        <v>-178.21600000000001</v>
      </c>
      <c r="W423">
        <v>4</v>
      </c>
      <c r="X423">
        <v>313.63</v>
      </c>
      <c r="Y423" s="7">
        <v>90361</v>
      </c>
    </row>
    <row r="424" spans="1:25" ht="12.75" customHeight="1">
      <c r="A424">
        <v>21951</v>
      </c>
      <c r="B424" t="s">
        <v>37</v>
      </c>
      <c r="C424" s="4">
        <v>0.04</v>
      </c>
      <c r="D424" s="8">
        <v>27.48</v>
      </c>
      <c r="E424" s="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 s="5">
        <v>0.75</v>
      </c>
      <c r="O424" t="s">
        <v>33</v>
      </c>
      <c r="P424" t="s">
        <v>53</v>
      </c>
      <c r="Q424" t="s">
        <v>54</v>
      </c>
      <c r="R424" t="s">
        <v>871</v>
      </c>
      <c r="S424" s="7">
        <v>7901</v>
      </c>
      <c r="T424" s="3">
        <v>42170</v>
      </c>
      <c r="U424" s="3">
        <v>42172</v>
      </c>
      <c r="V424" s="4">
        <v>-26.655999999999999</v>
      </c>
      <c r="W424">
        <v>15</v>
      </c>
      <c r="X424">
        <v>397.17</v>
      </c>
      <c r="Y424" s="7">
        <v>90361</v>
      </c>
    </row>
    <row r="425" spans="1:25">
      <c r="A425">
        <v>19209</v>
      </c>
      <c r="B425" t="s">
        <v>106</v>
      </c>
      <c r="C425" s="4">
        <v>0.02</v>
      </c>
      <c r="D425" s="8">
        <v>59.98</v>
      </c>
      <c r="E425" s="4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 s="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 s="7">
        <v>85737</v>
      </c>
      <c r="T425" s="3">
        <v>42032</v>
      </c>
      <c r="U425" s="3">
        <v>42041</v>
      </c>
      <c r="V425" s="4">
        <v>-54.622</v>
      </c>
      <c r="W425">
        <v>1</v>
      </c>
      <c r="X425">
        <v>63.48</v>
      </c>
      <c r="Y425" s="7">
        <v>87725</v>
      </c>
    </row>
    <row r="426" spans="1:25">
      <c r="A426">
        <v>19210</v>
      </c>
      <c r="B426" t="s">
        <v>106</v>
      </c>
      <c r="C426" s="4">
        <v>0.03</v>
      </c>
      <c r="D426" s="8">
        <v>5.18</v>
      </c>
      <c r="E426" s="4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 s="5">
        <v>0.36</v>
      </c>
      <c r="O426" t="s">
        <v>33</v>
      </c>
      <c r="P426" t="s">
        <v>34</v>
      </c>
      <c r="Q426" t="s">
        <v>378</v>
      </c>
      <c r="R426" t="s">
        <v>874</v>
      </c>
      <c r="S426" s="7">
        <v>85737</v>
      </c>
      <c r="T426" s="3">
        <v>42032</v>
      </c>
      <c r="U426" s="3">
        <v>42036</v>
      </c>
      <c r="V426" s="4">
        <v>-126.81418000000001</v>
      </c>
      <c r="W426">
        <v>9</v>
      </c>
      <c r="X426">
        <v>47.64</v>
      </c>
      <c r="Y426" s="7">
        <v>87725</v>
      </c>
    </row>
    <row r="427" spans="1:25">
      <c r="A427">
        <v>19638</v>
      </c>
      <c r="B427" t="s">
        <v>56</v>
      </c>
      <c r="C427" s="4">
        <v>0.03</v>
      </c>
      <c r="D427" s="8">
        <v>119.99</v>
      </c>
      <c r="E427" s="4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 s="5">
        <v>0.39</v>
      </c>
      <c r="O427" t="s">
        <v>33</v>
      </c>
      <c r="P427" t="s">
        <v>34</v>
      </c>
      <c r="Q427" t="s">
        <v>378</v>
      </c>
      <c r="R427" t="s">
        <v>874</v>
      </c>
      <c r="S427" s="7">
        <v>85737</v>
      </c>
      <c r="T427" s="3">
        <v>42021</v>
      </c>
      <c r="U427" s="3">
        <v>42023</v>
      </c>
      <c r="V427" s="4">
        <v>1400.1</v>
      </c>
      <c r="W427">
        <v>13</v>
      </c>
      <c r="X427">
        <v>1545.58</v>
      </c>
      <c r="Y427" s="7">
        <v>87726</v>
      </c>
    </row>
    <row r="428" spans="1:25">
      <c r="A428">
        <v>19505</v>
      </c>
      <c r="B428" t="s">
        <v>106</v>
      </c>
      <c r="C428" s="4">
        <v>0.09</v>
      </c>
      <c r="D428" s="8">
        <v>125.99</v>
      </c>
      <c r="E428" s="4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 s="5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 s="7">
        <v>85737</v>
      </c>
      <c r="T428" s="3">
        <v>42149</v>
      </c>
      <c r="U428" s="3">
        <v>42157</v>
      </c>
      <c r="V428" s="4">
        <v>916.68060000000014</v>
      </c>
      <c r="W428">
        <v>20</v>
      </c>
      <c r="X428">
        <v>2104.9899999999998</v>
      </c>
      <c r="Y428" s="7">
        <v>87727</v>
      </c>
    </row>
    <row r="429" spans="1:25">
      <c r="A429">
        <v>19639</v>
      </c>
      <c r="B429" t="s">
        <v>56</v>
      </c>
      <c r="C429" s="4">
        <v>0.05</v>
      </c>
      <c r="D429" s="8">
        <v>115.79</v>
      </c>
      <c r="E429" s="4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 s="5">
        <v>0.49</v>
      </c>
      <c r="O429" t="s">
        <v>33</v>
      </c>
      <c r="P429" t="s">
        <v>34</v>
      </c>
      <c r="Q429" t="s">
        <v>378</v>
      </c>
      <c r="R429" t="s">
        <v>878</v>
      </c>
      <c r="S429" s="7">
        <v>85345</v>
      </c>
      <c r="T429" s="3">
        <v>42021</v>
      </c>
      <c r="U429" s="3">
        <v>42023</v>
      </c>
      <c r="V429" s="4">
        <v>67.599999999999923</v>
      </c>
      <c r="W429">
        <v>3</v>
      </c>
      <c r="X429">
        <v>353.1</v>
      </c>
      <c r="Y429" s="7">
        <v>87726</v>
      </c>
    </row>
    <row r="430" spans="1:25" ht="12.75" customHeight="1">
      <c r="A430">
        <v>20855</v>
      </c>
      <c r="B430" t="s">
        <v>37</v>
      </c>
      <c r="C430" s="4">
        <v>0.09</v>
      </c>
      <c r="D430" s="8">
        <v>27.75</v>
      </c>
      <c r="E430" s="4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 s="5">
        <v>0.67</v>
      </c>
      <c r="O430" t="s">
        <v>33</v>
      </c>
      <c r="P430" t="s">
        <v>136</v>
      </c>
      <c r="Q430" t="s">
        <v>613</v>
      </c>
      <c r="R430" t="s">
        <v>881</v>
      </c>
      <c r="S430" s="7">
        <v>41042</v>
      </c>
      <c r="T430" s="3">
        <v>42016</v>
      </c>
      <c r="U430" s="3">
        <v>42017</v>
      </c>
      <c r="V430" s="4">
        <v>-224.64400000000001</v>
      </c>
      <c r="W430">
        <v>10</v>
      </c>
      <c r="X430">
        <v>257.52</v>
      </c>
      <c r="Y430" s="7">
        <v>91200</v>
      </c>
    </row>
    <row r="431" spans="1:25" ht="12.75" customHeight="1">
      <c r="A431">
        <v>23629</v>
      </c>
      <c r="B431" t="s">
        <v>106</v>
      </c>
      <c r="C431" s="4">
        <v>0.06</v>
      </c>
      <c r="D431" s="8">
        <v>130.97999999999999</v>
      </c>
      <c r="E431" s="4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 s="5">
        <v>0.69</v>
      </c>
      <c r="O431" t="s">
        <v>33</v>
      </c>
      <c r="P431" t="s">
        <v>136</v>
      </c>
      <c r="Q431" t="s">
        <v>613</v>
      </c>
      <c r="R431" t="s">
        <v>883</v>
      </c>
      <c r="S431" s="7">
        <v>40324</v>
      </c>
      <c r="T431" s="3">
        <v>42062</v>
      </c>
      <c r="U431" s="3">
        <v>42069</v>
      </c>
      <c r="V431" s="4">
        <v>14.76</v>
      </c>
      <c r="W431">
        <v>3</v>
      </c>
      <c r="X431">
        <v>411.64</v>
      </c>
      <c r="Y431" s="7">
        <v>91201</v>
      </c>
    </row>
    <row r="432" spans="1:25">
      <c r="A432">
        <v>19679</v>
      </c>
      <c r="B432" t="s">
        <v>47</v>
      </c>
      <c r="C432" s="4">
        <v>0.06</v>
      </c>
      <c r="D432" s="8">
        <v>2.61</v>
      </c>
      <c r="E432" s="4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 s="5">
        <v>0.39</v>
      </c>
      <c r="O432" t="s">
        <v>33</v>
      </c>
      <c r="P432" t="s">
        <v>34</v>
      </c>
      <c r="Q432" t="s">
        <v>378</v>
      </c>
      <c r="R432" t="s">
        <v>886</v>
      </c>
      <c r="S432" s="7">
        <v>86301</v>
      </c>
      <c r="T432" s="3">
        <v>42074</v>
      </c>
      <c r="U432" s="3">
        <v>42074</v>
      </c>
      <c r="V432" s="4">
        <v>10.85</v>
      </c>
      <c r="W432">
        <v>1</v>
      </c>
      <c r="X432">
        <v>17.59</v>
      </c>
      <c r="Y432" s="7">
        <v>90438</v>
      </c>
    </row>
    <row r="433" spans="1:25">
      <c r="A433">
        <v>19680</v>
      </c>
      <c r="B433" t="s">
        <v>47</v>
      </c>
      <c r="C433" s="4">
        <v>0.01</v>
      </c>
      <c r="D433" s="8">
        <v>6.35</v>
      </c>
      <c r="E433" s="4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 s="5">
        <v>0.39</v>
      </c>
      <c r="O433" t="s">
        <v>33</v>
      </c>
      <c r="P433" t="s">
        <v>34</v>
      </c>
      <c r="Q433" t="s">
        <v>378</v>
      </c>
      <c r="R433" t="s">
        <v>886</v>
      </c>
      <c r="S433" s="7">
        <v>86301</v>
      </c>
      <c r="T433" s="3">
        <v>42074</v>
      </c>
      <c r="U433" s="3">
        <v>42076</v>
      </c>
      <c r="V433" s="4">
        <v>97.662599999999983</v>
      </c>
      <c r="W433">
        <v>22</v>
      </c>
      <c r="X433">
        <v>141.54</v>
      </c>
      <c r="Y433" s="7">
        <v>90438</v>
      </c>
    </row>
    <row r="434" spans="1:25">
      <c r="A434">
        <v>25291</v>
      </c>
      <c r="B434" t="s">
        <v>25</v>
      </c>
      <c r="C434" s="4">
        <v>0.06</v>
      </c>
      <c r="D434" s="8">
        <v>218.75</v>
      </c>
      <c r="E434" s="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 s="5">
        <v>0.77</v>
      </c>
      <c r="O434" t="s">
        <v>33</v>
      </c>
      <c r="P434" t="s">
        <v>34</v>
      </c>
      <c r="Q434" t="s">
        <v>378</v>
      </c>
      <c r="R434" t="s">
        <v>889</v>
      </c>
      <c r="S434" s="7">
        <v>86314</v>
      </c>
      <c r="T434" s="3">
        <v>42159</v>
      </c>
      <c r="U434" s="3">
        <v>42160</v>
      </c>
      <c r="V434" s="4">
        <v>-453.2</v>
      </c>
      <c r="W434">
        <v>4</v>
      </c>
      <c r="X434">
        <v>905.4</v>
      </c>
      <c r="Y434" s="7">
        <v>90437</v>
      </c>
    </row>
    <row r="435" spans="1:25">
      <c r="A435">
        <v>25117</v>
      </c>
      <c r="B435" t="s">
        <v>106</v>
      </c>
      <c r="C435" s="4">
        <v>0.06</v>
      </c>
      <c r="D435" s="8">
        <v>119.99</v>
      </c>
      <c r="E435" s="4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 s="5">
        <v>0.36</v>
      </c>
      <c r="O435" t="s">
        <v>33</v>
      </c>
      <c r="P435" t="s">
        <v>34</v>
      </c>
      <c r="Q435" t="s">
        <v>378</v>
      </c>
      <c r="R435" t="s">
        <v>889</v>
      </c>
      <c r="S435" s="7">
        <v>86314</v>
      </c>
      <c r="T435" s="3">
        <v>42106</v>
      </c>
      <c r="U435" s="3">
        <v>42113</v>
      </c>
      <c r="V435" s="4">
        <v>-207.679788</v>
      </c>
      <c r="W435">
        <v>2</v>
      </c>
      <c r="X435">
        <v>243.86</v>
      </c>
      <c r="Y435" s="7">
        <v>90439</v>
      </c>
    </row>
    <row r="436" spans="1:25" ht="12.75" customHeight="1">
      <c r="A436">
        <v>25856</v>
      </c>
      <c r="B436" t="s">
        <v>37</v>
      </c>
      <c r="C436" s="4">
        <v>0.03</v>
      </c>
      <c r="D436" s="8">
        <v>37.94</v>
      </c>
      <c r="E436" s="4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 s="5">
        <v>0.38</v>
      </c>
      <c r="O436" t="s">
        <v>33</v>
      </c>
      <c r="P436" t="s">
        <v>34</v>
      </c>
      <c r="Q436" t="s">
        <v>102</v>
      </c>
      <c r="R436" t="s">
        <v>893</v>
      </c>
      <c r="S436" s="7">
        <v>97062</v>
      </c>
      <c r="T436" s="3">
        <v>42046</v>
      </c>
      <c r="U436" s="3">
        <v>42048</v>
      </c>
      <c r="V436" s="4">
        <v>-7.5244000000000009</v>
      </c>
      <c r="W436">
        <v>1</v>
      </c>
      <c r="X436">
        <v>39.97</v>
      </c>
      <c r="Y436" s="7">
        <v>90258</v>
      </c>
    </row>
    <row r="437" spans="1:25" ht="12.75" customHeight="1">
      <c r="A437">
        <v>21110</v>
      </c>
      <c r="B437" t="s">
        <v>106</v>
      </c>
      <c r="C437" s="4">
        <v>0</v>
      </c>
      <c r="D437" s="8">
        <v>20.99</v>
      </c>
      <c r="E437" s="4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 s="5">
        <v>0.81</v>
      </c>
      <c r="O437" t="s">
        <v>33</v>
      </c>
      <c r="P437" t="s">
        <v>61</v>
      </c>
      <c r="Q437" t="s">
        <v>178</v>
      </c>
      <c r="R437" t="s">
        <v>896</v>
      </c>
      <c r="S437" s="7">
        <v>62301</v>
      </c>
      <c r="T437" s="3">
        <v>42153</v>
      </c>
      <c r="U437" s="3">
        <v>42160</v>
      </c>
      <c r="V437" s="4">
        <v>-92.961000000000013</v>
      </c>
      <c r="W437">
        <v>5</v>
      </c>
      <c r="X437">
        <v>92.96</v>
      </c>
      <c r="Y437" s="7">
        <v>86639</v>
      </c>
    </row>
    <row r="438" spans="1:25" ht="12.75" customHeight="1">
      <c r="A438">
        <v>20377</v>
      </c>
      <c r="B438" t="s">
        <v>37</v>
      </c>
      <c r="C438" s="4">
        <v>0</v>
      </c>
      <c r="D438" s="8">
        <v>125.99</v>
      </c>
      <c r="E438" s="4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 s="5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 s="7">
        <v>98661</v>
      </c>
      <c r="T438" s="3">
        <v>42121</v>
      </c>
      <c r="U438" s="3">
        <v>42123</v>
      </c>
      <c r="V438" s="4">
        <v>613.89576</v>
      </c>
      <c r="W438">
        <v>12</v>
      </c>
      <c r="X438">
        <v>1362.2</v>
      </c>
      <c r="Y438" s="7">
        <v>87525</v>
      </c>
    </row>
    <row r="439" spans="1:25" ht="12.75" customHeight="1">
      <c r="A439">
        <v>18735</v>
      </c>
      <c r="B439" t="s">
        <v>47</v>
      </c>
      <c r="C439" s="4">
        <v>0.1</v>
      </c>
      <c r="D439" s="8">
        <v>31.78</v>
      </c>
      <c r="E439" s="4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 s="5">
        <v>0.42</v>
      </c>
      <c r="O439" t="s">
        <v>33</v>
      </c>
      <c r="P439" t="s">
        <v>61</v>
      </c>
      <c r="Q439" t="s">
        <v>178</v>
      </c>
      <c r="R439" t="s">
        <v>902</v>
      </c>
      <c r="S439" s="7">
        <v>61201</v>
      </c>
      <c r="T439" s="3">
        <v>42034</v>
      </c>
      <c r="U439" s="3">
        <v>42036</v>
      </c>
      <c r="V439" s="4">
        <v>232.28159999999997</v>
      </c>
      <c r="W439">
        <v>11</v>
      </c>
      <c r="X439">
        <v>336.64</v>
      </c>
      <c r="Y439" s="7">
        <v>86279</v>
      </c>
    </row>
    <row r="440" spans="1:25" ht="12.75" customHeight="1">
      <c r="A440">
        <v>18659</v>
      </c>
      <c r="B440" t="s">
        <v>47</v>
      </c>
      <c r="C440" s="4">
        <v>0.08</v>
      </c>
      <c r="D440" s="8">
        <v>30.73</v>
      </c>
      <c r="E440" s="4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 s="5">
        <v>0.75</v>
      </c>
      <c r="O440" t="s">
        <v>33</v>
      </c>
      <c r="P440" t="s">
        <v>34</v>
      </c>
      <c r="Q440" t="s">
        <v>102</v>
      </c>
      <c r="R440" t="s">
        <v>893</v>
      </c>
      <c r="S440" s="7">
        <v>97062</v>
      </c>
      <c r="T440" s="3">
        <v>42082</v>
      </c>
      <c r="U440" s="3">
        <v>42082</v>
      </c>
      <c r="V440" s="4">
        <v>-45.07</v>
      </c>
      <c r="W440">
        <v>14</v>
      </c>
      <c r="X440">
        <v>429.33</v>
      </c>
      <c r="Y440" s="7">
        <v>88667</v>
      </c>
    </row>
    <row r="441" spans="1:25" ht="12.75" customHeight="1">
      <c r="A441">
        <v>18660</v>
      </c>
      <c r="B441" t="s">
        <v>47</v>
      </c>
      <c r="C441" s="4">
        <v>0.05</v>
      </c>
      <c r="D441" s="8">
        <v>14.56</v>
      </c>
      <c r="E441" s="4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 s="5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 s="7">
        <v>97068</v>
      </c>
      <c r="T441" s="3">
        <v>42082</v>
      </c>
      <c r="U441" s="3">
        <v>42084</v>
      </c>
      <c r="V441" s="4">
        <v>-8.5299999999999994</v>
      </c>
      <c r="W441">
        <v>3</v>
      </c>
      <c r="X441">
        <v>44.66</v>
      </c>
      <c r="Y441" s="7">
        <v>88667</v>
      </c>
    </row>
    <row r="442" spans="1:25" ht="12.75" customHeight="1">
      <c r="A442">
        <v>18661</v>
      </c>
      <c r="B442" t="s">
        <v>47</v>
      </c>
      <c r="C442" s="4">
        <v>0</v>
      </c>
      <c r="D442" s="8">
        <v>299.99</v>
      </c>
      <c r="E442" s="4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 s="5">
        <v>0.5</v>
      </c>
      <c r="O442" t="s">
        <v>33</v>
      </c>
      <c r="P442" t="s">
        <v>34</v>
      </c>
      <c r="Q442" t="s">
        <v>102</v>
      </c>
      <c r="R442" t="s">
        <v>906</v>
      </c>
      <c r="S442" s="7">
        <v>97068</v>
      </c>
      <c r="T442" s="3">
        <v>42082</v>
      </c>
      <c r="U442" s="3">
        <v>42084</v>
      </c>
      <c r="V442" s="4">
        <v>285.95</v>
      </c>
      <c r="W442">
        <v>5</v>
      </c>
      <c r="X442">
        <v>1619.95</v>
      </c>
      <c r="Y442" s="7">
        <v>88667</v>
      </c>
    </row>
    <row r="443" spans="1:25" ht="12.75" customHeight="1">
      <c r="A443">
        <v>22875</v>
      </c>
      <c r="B443" t="s">
        <v>47</v>
      </c>
      <c r="C443" s="4">
        <v>0.08</v>
      </c>
      <c r="D443" s="8">
        <v>7.77</v>
      </c>
      <c r="E443" s="4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 s="5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 s="7">
        <v>18103</v>
      </c>
      <c r="T443" s="3">
        <v>42018</v>
      </c>
      <c r="U443" s="3">
        <v>42020</v>
      </c>
      <c r="V443" s="4">
        <v>-209.25</v>
      </c>
      <c r="W443">
        <v>7</v>
      </c>
      <c r="X443">
        <v>56.44</v>
      </c>
      <c r="Y443" s="7">
        <v>88666</v>
      </c>
    </row>
    <row r="444" spans="1:25" ht="12.75" customHeight="1">
      <c r="A444">
        <v>22877</v>
      </c>
      <c r="B444" t="s">
        <v>47</v>
      </c>
      <c r="C444" s="4">
        <v>0.1</v>
      </c>
      <c r="D444" s="8">
        <v>18.97</v>
      </c>
      <c r="E444" s="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 s="5">
        <v>0.37</v>
      </c>
      <c r="O444" t="s">
        <v>33</v>
      </c>
      <c r="P444" t="s">
        <v>53</v>
      </c>
      <c r="Q444" t="s">
        <v>234</v>
      </c>
      <c r="R444" t="s">
        <v>909</v>
      </c>
      <c r="S444" s="7">
        <v>18103</v>
      </c>
      <c r="T444" s="3">
        <v>42018</v>
      </c>
      <c r="U444" s="3">
        <v>42020</v>
      </c>
      <c r="V444" s="4">
        <v>-9.1635999999999989</v>
      </c>
      <c r="W444">
        <v>3</v>
      </c>
      <c r="X444">
        <v>56.73</v>
      </c>
      <c r="Y444" s="7">
        <v>88666</v>
      </c>
    </row>
    <row r="445" spans="1:25" ht="12.75" customHeight="1">
      <c r="A445">
        <v>20967</v>
      </c>
      <c r="B445" t="s">
        <v>106</v>
      </c>
      <c r="C445" s="4">
        <v>0.02</v>
      </c>
      <c r="D445" s="8">
        <v>4.0599999999999996</v>
      </c>
      <c r="E445" s="4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 s="5">
        <v>0.6</v>
      </c>
      <c r="O445" t="s">
        <v>33</v>
      </c>
      <c r="P445" t="s">
        <v>53</v>
      </c>
      <c r="Q445" t="s">
        <v>234</v>
      </c>
      <c r="R445" t="s">
        <v>909</v>
      </c>
      <c r="S445" s="7">
        <v>18103</v>
      </c>
      <c r="T445" s="3">
        <v>42141</v>
      </c>
      <c r="U445" s="3">
        <v>42145</v>
      </c>
      <c r="V445" s="4">
        <v>12.706000000000017</v>
      </c>
      <c r="W445">
        <v>12</v>
      </c>
      <c r="X445">
        <v>64.41</v>
      </c>
      <c r="Y445" s="7">
        <v>88668</v>
      </c>
    </row>
    <row r="446" spans="1:25" ht="12.75" customHeight="1">
      <c r="A446">
        <v>20968</v>
      </c>
      <c r="B446" t="s">
        <v>106</v>
      </c>
      <c r="C446" s="4">
        <v>7.0000000000000007E-2</v>
      </c>
      <c r="D446" s="8">
        <v>9.49</v>
      </c>
      <c r="E446" s="4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 s="5">
        <v>0.39</v>
      </c>
      <c r="O446" t="s">
        <v>33</v>
      </c>
      <c r="P446" t="s">
        <v>53</v>
      </c>
      <c r="Q446" t="s">
        <v>234</v>
      </c>
      <c r="R446" t="s">
        <v>909</v>
      </c>
      <c r="S446" s="7">
        <v>18103</v>
      </c>
      <c r="T446" s="3">
        <v>42141</v>
      </c>
      <c r="U446" s="3">
        <v>42145</v>
      </c>
      <c r="V446" s="4">
        <v>7.7151600000000045</v>
      </c>
      <c r="W446">
        <v>37</v>
      </c>
      <c r="X446">
        <v>344.57</v>
      </c>
      <c r="Y446" s="7">
        <v>88668</v>
      </c>
    </row>
    <row r="447" spans="1:25" ht="12.75" customHeight="1">
      <c r="A447">
        <v>20434</v>
      </c>
      <c r="B447" t="s">
        <v>25</v>
      </c>
      <c r="C447" s="4">
        <v>0.04</v>
      </c>
      <c r="D447" s="8">
        <v>34.76</v>
      </c>
      <c r="E447" s="4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 s="5">
        <v>0.6</v>
      </c>
      <c r="O447" t="s">
        <v>33</v>
      </c>
      <c r="P447" t="s">
        <v>34</v>
      </c>
      <c r="Q447" t="s">
        <v>45</v>
      </c>
      <c r="R447" t="s">
        <v>914</v>
      </c>
      <c r="S447" s="7">
        <v>90604</v>
      </c>
      <c r="T447" s="3">
        <v>42123</v>
      </c>
      <c r="U447" s="3">
        <v>42124</v>
      </c>
      <c r="V447" s="4">
        <v>192.51689999999999</v>
      </c>
      <c r="W447">
        <v>8</v>
      </c>
      <c r="X447">
        <v>279.01</v>
      </c>
      <c r="Y447" s="7">
        <v>90962</v>
      </c>
    </row>
    <row r="448" spans="1:25" ht="12.75" customHeight="1">
      <c r="A448">
        <v>24773</v>
      </c>
      <c r="B448" t="s">
        <v>106</v>
      </c>
      <c r="C448" s="4">
        <v>0.02</v>
      </c>
      <c r="D448" s="8">
        <v>100.98</v>
      </c>
      <c r="E448" s="4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 s="5">
        <v>0.62</v>
      </c>
      <c r="O448" t="s">
        <v>33</v>
      </c>
      <c r="P448" t="s">
        <v>53</v>
      </c>
      <c r="Q448" t="s">
        <v>228</v>
      </c>
      <c r="R448" t="s">
        <v>916</v>
      </c>
      <c r="S448" s="7">
        <v>6010</v>
      </c>
      <c r="T448" s="3">
        <v>42010</v>
      </c>
      <c r="U448" s="3">
        <v>42010</v>
      </c>
      <c r="V448" s="4">
        <v>-134.91200000000001</v>
      </c>
      <c r="W448">
        <v>6</v>
      </c>
      <c r="X448">
        <v>614.99</v>
      </c>
      <c r="Y448" s="7">
        <v>90961</v>
      </c>
    </row>
    <row r="449" spans="1:25" ht="12.75" customHeight="1">
      <c r="A449">
        <v>22969</v>
      </c>
      <c r="B449" t="s">
        <v>56</v>
      </c>
      <c r="C449" s="4">
        <v>0</v>
      </c>
      <c r="D449" s="8">
        <v>8.34</v>
      </c>
      <c r="E449" s="4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 s="5">
        <v>0.4</v>
      </c>
      <c r="O449" t="s">
        <v>33</v>
      </c>
      <c r="P449" t="s">
        <v>34</v>
      </c>
      <c r="Q449" t="s">
        <v>45</v>
      </c>
      <c r="R449" t="s">
        <v>919</v>
      </c>
      <c r="S449" s="7">
        <v>92691</v>
      </c>
      <c r="T449" s="3">
        <v>42100</v>
      </c>
      <c r="U449" s="3">
        <v>42101</v>
      </c>
      <c r="V449" s="4">
        <v>-5.05</v>
      </c>
      <c r="W449">
        <v>9</v>
      </c>
      <c r="X449">
        <v>76.23</v>
      </c>
      <c r="Y449" s="7">
        <v>91513</v>
      </c>
    </row>
    <row r="450" spans="1:25" ht="12.75" customHeight="1">
      <c r="A450">
        <v>24629</v>
      </c>
      <c r="B450" t="s">
        <v>37</v>
      </c>
      <c r="C450" s="4">
        <v>0.09</v>
      </c>
      <c r="D450" s="8">
        <v>6.48</v>
      </c>
      <c r="E450" s="4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 s="5">
        <v>0.36</v>
      </c>
      <c r="O450" t="s">
        <v>33</v>
      </c>
      <c r="P450" t="s">
        <v>61</v>
      </c>
      <c r="Q450" t="s">
        <v>304</v>
      </c>
      <c r="R450" t="s">
        <v>922</v>
      </c>
      <c r="S450" s="7">
        <v>73064</v>
      </c>
      <c r="T450" s="3">
        <v>42176</v>
      </c>
      <c r="U450" s="3">
        <v>42177</v>
      </c>
      <c r="V450" s="4">
        <v>-204.16</v>
      </c>
      <c r="W450">
        <v>16</v>
      </c>
      <c r="X450">
        <v>99.92</v>
      </c>
      <c r="Y450" s="7">
        <v>88753</v>
      </c>
    </row>
    <row r="451" spans="1:25" ht="12.75" customHeight="1">
      <c r="A451">
        <v>18347</v>
      </c>
      <c r="B451" t="s">
        <v>37</v>
      </c>
      <c r="C451" s="4">
        <v>0.06</v>
      </c>
      <c r="D451" s="8">
        <v>8.6</v>
      </c>
      <c r="E451" s="4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 s="5">
        <v>0.38</v>
      </c>
      <c r="O451" t="s">
        <v>33</v>
      </c>
      <c r="P451" t="s">
        <v>61</v>
      </c>
      <c r="Q451" t="s">
        <v>496</v>
      </c>
      <c r="R451" t="s">
        <v>808</v>
      </c>
      <c r="S451" s="7">
        <v>68046</v>
      </c>
      <c r="T451" s="3">
        <v>42074</v>
      </c>
      <c r="U451" s="3">
        <v>42075</v>
      </c>
      <c r="V451" s="4">
        <v>-46.115000000000002</v>
      </c>
      <c r="W451">
        <v>9</v>
      </c>
      <c r="X451">
        <v>79.400000000000006</v>
      </c>
      <c r="Y451" s="7">
        <v>86867</v>
      </c>
    </row>
    <row r="452" spans="1:25" ht="12.75" customHeight="1">
      <c r="A452">
        <v>18184</v>
      </c>
      <c r="B452" t="s">
        <v>37</v>
      </c>
      <c r="C452" s="4">
        <v>0.1</v>
      </c>
      <c r="D452" s="8">
        <v>14.42</v>
      </c>
      <c r="E452" s="4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 s="5">
        <v>0.52</v>
      </c>
      <c r="O452" t="s">
        <v>33</v>
      </c>
      <c r="P452" t="s">
        <v>61</v>
      </c>
      <c r="Q452" t="s">
        <v>496</v>
      </c>
      <c r="R452" t="s">
        <v>808</v>
      </c>
      <c r="S452" s="7">
        <v>68046</v>
      </c>
      <c r="T452" s="3">
        <v>42174</v>
      </c>
      <c r="U452" s="3">
        <v>42177</v>
      </c>
      <c r="V452" s="4">
        <v>-20.103999999999999</v>
      </c>
      <c r="W452">
        <v>1</v>
      </c>
      <c r="X452">
        <v>15.49</v>
      </c>
      <c r="Y452" s="7">
        <v>86869</v>
      </c>
    </row>
    <row r="453" spans="1:25" ht="12.75" customHeight="1">
      <c r="A453">
        <v>19011</v>
      </c>
      <c r="B453" t="s">
        <v>37</v>
      </c>
      <c r="C453" s="4">
        <v>0.04</v>
      </c>
      <c r="D453" s="8">
        <v>9.11</v>
      </c>
      <c r="E453" s="4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 s="5">
        <v>0.52</v>
      </c>
      <c r="O453" t="s">
        <v>33</v>
      </c>
      <c r="P453" t="s">
        <v>34</v>
      </c>
      <c r="Q453" t="s">
        <v>212</v>
      </c>
      <c r="R453" t="s">
        <v>927</v>
      </c>
      <c r="S453" s="7">
        <v>84067</v>
      </c>
      <c r="T453" s="3">
        <v>42156</v>
      </c>
      <c r="U453" s="3">
        <v>42159</v>
      </c>
      <c r="V453" s="4">
        <v>-3.496</v>
      </c>
      <c r="W453">
        <v>2</v>
      </c>
      <c r="X453">
        <v>18.59</v>
      </c>
      <c r="Y453" s="7">
        <v>86868</v>
      </c>
    </row>
    <row r="454" spans="1:25" ht="12.75" customHeight="1">
      <c r="A454">
        <v>19012</v>
      </c>
      <c r="B454" t="s">
        <v>37</v>
      </c>
      <c r="C454" s="4">
        <v>7.0000000000000007E-2</v>
      </c>
      <c r="D454" s="8">
        <v>64.650000000000006</v>
      </c>
      <c r="E454" s="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 s="5">
        <v>0.8</v>
      </c>
      <c r="O454" t="s">
        <v>33</v>
      </c>
      <c r="P454" t="s">
        <v>34</v>
      </c>
      <c r="Q454" t="s">
        <v>212</v>
      </c>
      <c r="R454" t="s">
        <v>927</v>
      </c>
      <c r="S454" s="7">
        <v>84067</v>
      </c>
      <c r="T454" s="3">
        <v>42156</v>
      </c>
      <c r="U454" s="3">
        <v>42158</v>
      </c>
      <c r="V454" s="4">
        <v>-717.072</v>
      </c>
      <c r="W454">
        <v>13</v>
      </c>
      <c r="X454">
        <v>834.08</v>
      </c>
      <c r="Y454" s="7">
        <v>86868</v>
      </c>
    </row>
    <row r="455" spans="1:25" ht="12.75" customHeight="1">
      <c r="A455">
        <v>24851</v>
      </c>
      <c r="B455" t="s">
        <v>106</v>
      </c>
      <c r="C455" s="4">
        <v>0.09</v>
      </c>
      <c r="D455" s="8">
        <v>6.48</v>
      </c>
      <c r="E455" s="4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 s="5">
        <v>0.37</v>
      </c>
      <c r="O455" t="s">
        <v>33</v>
      </c>
      <c r="P455" t="s">
        <v>34</v>
      </c>
      <c r="Q455" t="s">
        <v>212</v>
      </c>
      <c r="R455" t="s">
        <v>927</v>
      </c>
      <c r="S455" s="7">
        <v>84067</v>
      </c>
      <c r="T455" s="3">
        <v>42069</v>
      </c>
      <c r="U455" s="3">
        <v>42071</v>
      </c>
      <c r="V455" s="4">
        <v>-62.23</v>
      </c>
      <c r="W455">
        <v>8</v>
      </c>
      <c r="X455">
        <v>50.88</v>
      </c>
      <c r="Y455" s="7">
        <v>86870</v>
      </c>
    </row>
    <row r="456" spans="1:25" ht="12.75" customHeight="1">
      <c r="A456">
        <v>20001</v>
      </c>
      <c r="B456" t="s">
        <v>37</v>
      </c>
      <c r="C456" s="4">
        <v>0.01</v>
      </c>
      <c r="D456" s="8">
        <v>150.97999999999999</v>
      </c>
      <c r="E456" s="4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 s="5">
        <v>0.74</v>
      </c>
      <c r="O456" t="s">
        <v>33</v>
      </c>
      <c r="P456" t="s">
        <v>136</v>
      </c>
      <c r="Q456" t="s">
        <v>932</v>
      </c>
      <c r="R456" t="s">
        <v>933</v>
      </c>
      <c r="S456" s="7">
        <v>29915</v>
      </c>
      <c r="T456" s="3">
        <v>42010</v>
      </c>
      <c r="U456" s="3">
        <v>42012</v>
      </c>
      <c r="V456" s="4">
        <v>131.38200000000001</v>
      </c>
      <c r="W456">
        <v>6</v>
      </c>
      <c r="X456">
        <v>958.46</v>
      </c>
      <c r="Y456" s="7">
        <v>89909</v>
      </c>
    </row>
    <row r="457" spans="1:25" ht="12.75" customHeight="1">
      <c r="A457">
        <v>20002</v>
      </c>
      <c r="B457" t="s">
        <v>37</v>
      </c>
      <c r="C457" s="4">
        <v>0.01</v>
      </c>
      <c r="D457" s="8">
        <v>28.28</v>
      </c>
      <c r="E457" s="4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 s="5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 s="7">
        <v>29915</v>
      </c>
      <c r="T457" s="3">
        <v>42010</v>
      </c>
      <c r="U457" s="3">
        <v>42012</v>
      </c>
      <c r="V457" s="4">
        <v>-89.292000000000002</v>
      </c>
      <c r="W457">
        <v>12</v>
      </c>
      <c r="X457">
        <v>368.84</v>
      </c>
      <c r="Y457" s="7">
        <v>89909</v>
      </c>
    </row>
    <row r="458" spans="1:25" ht="12.75" customHeight="1">
      <c r="A458">
        <v>20003</v>
      </c>
      <c r="B458" t="s">
        <v>37</v>
      </c>
      <c r="C458" s="4">
        <v>0.03</v>
      </c>
      <c r="D458" s="8">
        <v>35.99</v>
      </c>
      <c r="E458" s="4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 s="5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 s="7">
        <v>29915</v>
      </c>
      <c r="T458" s="3">
        <v>42010</v>
      </c>
      <c r="U458" s="3">
        <v>42011</v>
      </c>
      <c r="V458" s="4">
        <v>-211.036</v>
      </c>
      <c r="W458">
        <v>1</v>
      </c>
      <c r="X458">
        <v>30.86</v>
      </c>
      <c r="Y458" s="7">
        <v>89909</v>
      </c>
    </row>
    <row r="459" spans="1:25" ht="12.75" customHeight="1">
      <c r="A459">
        <v>19265</v>
      </c>
      <c r="B459" t="s">
        <v>106</v>
      </c>
      <c r="C459" s="4">
        <v>0.04</v>
      </c>
      <c r="D459" s="8">
        <v>50.98</v>
      </c>
      <c r="E459" s="4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 s="5">
        <v>0.73</v>
      </c>
      <c r="O459" t="s">
        <v>33</v>
      </c>
      <c r="P459" t="s">
        <v>34</v>
      </c>
      <c r="Q459" t="s">
        <v>212</v>
      </c>
      <c r="R459" t="s">
        <v>927</v>
      </c>
      <c r="S459" s="7">
        <v>84067</v>
      </c>
      <c r="T459" s="3">
        <v>42091</v>
      </c>
      <c r="U459" s="3">
        <v>42097</v>
      </c>
      <c r="V459" s="4">
        <v>-13.28</v>
      </c>
      <c r="W459">
        <v>11</v>
      </c>
      <c r="X459">
        <v>568.25</v>
      </c>
      <c r="Y459" s="7">
        <v>89910</v>
      </c>
    </row>
    <row r="460" spans="1:25" ht="12.75" customHeight="1">
      <c r="A460">
        <v>19266</v>
      </c>
      <c r="B460" t="s">
        <v>106</v>
      </c>
      <c r="C460" s="4">
        <v>0.02</v>
      </c>
      <c r="D460" s="8">
        <v>6.48</v>
      </c>
      <c r="E460" s="4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 s="5">
        <v>0.37</v>
      </c>
      <c r="O460" t="s">
        <v>33</v>
      </c>
      <c r="P460" t="s">
        <v>34</v>
      </c>
      <c r="Q460" t="s">
        <v>212</v>
      </c>
      <c r="R460" t="s">
        <v>927</v>
      </c>
      <c r="S460" s="7">
        <v>84067</v>
      </c>
      <c r="T460" s="3">
        <v>42091</v>
      </c>
      <c r="U460" s="3">
        <v>42093</v>
      </c>
      <c r="V460" s="4">
        <v>-48.68</v>
      </c>
      <c r="W460">
        <v>19</v>
      </c>
      <c r="X460">
        <v>126.66</v>
      </c>
      <c r="Y460" s="7">
        <v>89910</v>
      </c>
    </row>
    <row r="461" spans="1:25" ht="12.75" customHeight="1">
      <c r="A461">
        <v>22484</v>
      </c>
      <c r="B461" t="s">
        <v>56</v>
      </c>
      <c r="C461" s="4">
        <v>0.03</v>
      </c>
      <c r="D461" s="8">
        <v>35.99</v>
      </c>
      <c r="E461" s="4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 s="5">
        <v>0.85</v>
      </c>
      <c r="O461" t="s">
        <v>33</v>
      </c>
      <c r="P461" t="s">
        <v>136</v>
      </c>
      <c r="Q461" t="s">
        <v>362</v>
      </c>
      <c r="R461" t="s">
        <v>940</v>
      </c>
      <c r="S461" s="7">
        <v>32168</v>
      </c>
      <c r="T461" s="3">
        <v>42123</v>
      </c>
      <c r="U461" s="3">
        <v>42124</v>
      </c>
      <c r="V461" s="4">
        <v>-184.548</v>
      </c>
      <c r="W461">
        <v>3</v>
      </c>
      <c r="X461">
        <v>93.82</v>
      </c>
      <c r="Y461" s="7">
        <v>90048</v>
      </c>
    </row>
    <row r="462" spans="1:25" ht="12.75" customHeight="1">
      <c r="A462">
        <v>5722</v>
      </c>
      <c r="B462" t="s">
        <v>47</v>
      </c>
      <c r="C462" s="4">
        <v>0.06</v>
      </c>
      <c r="D462" s="8">
        <v>179.99</v>
      </c>
      <c r="E462" s="4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 s="5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 s="7">
        <v>33132</v>
      </c>
      <c r="T462" s="3">
        <v>42013</v>
      </c>
      <c r="U462" s="3">
        <v>42015</v>
      </c>
      <c r="V462" s="4">
        <v>1220.03784</v>
      </c>
      <c r="W462">
        <v>54</v>
      </c>
      <c r="X462">
        <v>8332.91</v>
      </c>
      <c r="Y462" s="7">
        <v>40547</v>
      </c>
    </row>
    <row r="463" spans="1:25" ht="12.75" customHeight="1">
      <c r="A463">
        <v>21942</v>
      </c>
      <c r="B463" t="s">
        <v>106</v>
      </c>
      <c r="C463" s="4">
        <v>0.09</v>
      </c>
      <c r="D463" s="8">
        <v>5.84</v>
      </c>
      <c r="E463" s="4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 s="5">
        <v>0.49</v>
      </c>
      <c r="O463" t="s">
        <v>33</v>
      </c>
      <c r="P463" t="s">
        <v>34</v>
      </c>
      <c r="Q463" t="s">
        <v>35</v>
      </c>
      <c r="R463" t="s">
        <v>945</v>
      </c>
      <c r="S463" s="7">
        <v>99362</v>
      </c>
      <c r="T463" s="3">
        <v>42145</v>
      </c>
      <c r="U463" s="3">
        <v>42149</v>
      </c>
      <c r="V463" s="4">
        <v>-2.87</v>
      </c>
      <c r="W463">
        <v>1</v>
      </c>
      <c r="X463">
        <v>5.9</v>
      </c>
      <c r="Y463" s="7">
        <v>90244</v>
      </c>
    </row>
    <row r="464" spans="1:25" ht="12.75" customHeight="1">
      <c r="A464">
        <v>20661</v>
      </c>
      <c r="B464" t="s">
        <v>106</v>
      </c>
      <c r="C464" s="4">
        <v>0.04</v>
      </c>
      <c r="D464" s="8">
        <v>6.24</v>
      </c>
      <c r="E464" s="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 s="5">
        <v>0.6</v>
      </c>
      <c r="O464" t="s">
        <v>33</v>
      </c>
      <c r="P464" t="s">
        <v>136</v>
      </c>
      <c r="Q464" t="s">
        <v>244</v>
      </c>
      <c r="R464" t="s">
        <v>948</v>
      </c>
      <c r="S464" s="7">
        <v>37167</v>
      </c>
      <c r="T464" s="3">
        <v>42016</v>
      </c>
      <c r="U464" s="3">
        <v>42021</v>
      </c>
      <c r="V464" s="4">
        <v>4.3808999999999996</v>
      </c>
      <c r="W464">
        <v>13</v>
      </c>
      <c r="X464">
        <v>80.23</v>
      </c>
      <c r="Y464" s="7">
        <v>89257</v>
      </c>
    </row>
    <row r="465" spans="1:25" ht="12.75" customHeight="1">
      <c r="A465">
        <v>20663</v>
      </c>
      <c r="B465" t="s">
        <v>106</v>
      </c>
      <c r="C465" s="4">
        <v>0.09</v>
      </c>
      <c r="D465" s="8">
        <v>260.98</v>
      </c>
      <c r="E465" s="4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 s="5">
        <v>0.59</v>
      </c>
      <c r="O465" t="s">
        <v>33</v>
      </c>
      <c r="P465" t="s">
        <v>136</v>
      </c>
      <c r="Q465" t="s">
        <v>244</v>
      </c>
      <c r="R465" t="s">
        <v>951</v>
      </c>
      <c r="S465" s="7">
        <v>37174</v>
      </c>
      <c r="T465" s="3">
        <v>42016</v>
      </c>
      <c r="U465" s="3">
        <v>42023</v>
      </c>
      <c r="V465" s="4">
        <v>-100.744</v>
      </c>
      <c r="W465">
        <v>8</v>
      </c>
      <c r="X465">
        <v>2044.9</v>
      </c>
      <c r="Y465" s="7">
        <v>89257</v>
      </c>
    </row>
    <row r="466" spans="1:25" ht="12.75" customHeight="1">
      <c r="A466">
        <v>21350</v>
      </c>
      <c r="B466" t="s">
        <v>47</v>
      </c>
      <c r="C466" s="4">
        <v>0</v>
      </c>
      <c r="D466" s="8">
        <v>11.97</v>
      </c>
      <c r="E466" s="4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 s="5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 s="7">
        <v>79605</v>
      </c>
      <c r="T466" s="3">
        <v>42145</v>
      </c>
      <c r="U466" s="3">
        <v>42148</v>
      </c>
      <c r="V466" s="4">
        <v>3.3840000000000039</v>
      </c>
      <c r="W466">
        <v>4</v>
      </c>
      <c r="X466">
        <v>53.3</v>
      </c>
      <c r="Y466" s="7">
        <v>89258</v>
      </c>
    </row>
    <row r="467" spans="1:25" ht="12.75" customHeight="1">
      <c r="A467">
        <v>24842</v>
      </c>
      <c r="B467" t="s">
        <v>56</v>
      </c>
      <c r="C467" s="4">
        <v>0.01</v>
      </c>
      <c r="D467" s="8">
        <v>6.98</v>
      </c>
      <c r="E467" s="4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 s="5">
        <v>0.38</v>
      </c>
      <c r="O467" t="s">
        <v>33</v>
      </c>
      <c r="P467" t="s">
        <v>61</v>
      </c>
      <c r="Q467" t="s">
        <v>130</v>
      </c>
      <c r="R467" t="s">
        <v>956</v>
      </c>
      <c r="S467" s="7">
        <v>79109</v>
      </c>
      <c r="T467" s="3">
        <v>42149</v>
      </c>
      <c r="U467" s="3">
        <v>42150</v>
      </c>
      <c r="V467" s="4">
        <v>0.34600000000000009</v>
      </c>
      <c r="W467">
        <v>3</v>
      </c>
      <c r="X467">
        <v>21.93</v>
      </c>
      <c r="Y467" s="7">
        <v>89259</v>
      </c>
    </row>
    <row r="468" spans="1:25" ht="12.75" customHeight="1">
      <c r="A468">
        <v>24236</v>
      </c>
      <c r="B468" t="s">
        <v>37</v>
      </c>
      <c r="C468" s="4">
        <v>0.01</v>
      </c>
      <c r="D468" s="8">
        <v>5.18</v>
      </c>
      <c r="E468" s="4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 s="5">
        <v>0.36</v>
      </c>
      <c r="O468" t="s">
        <v>33</v>
      </c>
      <c r="P468" t="s">
        <v>136</v>
      </c>
      <c r="Q468" t="s">
        <v>958</v>
      </c>
      <c r="R468" t="s">
        <v>959</v>
      </c>
      <c r="S468" s="7">
        <v>71854</v>
      </c>
      <c r="T468" s="3">
        <v>42057</v>
      </c>
      <c r="U468" s="3">
        <v>42059</v>
      </c>
      <c r="V468" s="4">
        <v>-17.654</v>
      </c>
      <c r="W468">
        <v>5</v>
      </c>
      <c r="X468">
        <v>28.46</v>
      </c>
      <c r="Y468" s="7">
        <v>90271</v>
      </c>
    </row>
    <row r="469" spans="1:25" ht="12.75" customHeight="1">
      <c r="A469">
        <v>20664</v>
      </c>
      <c r="B469" t="s">
        <v>25</v>
      </c>
      <c r="C469" s="4">
        <v>0.01</v>
      </c>
      <c r="D469" s="8">
        <v>14.42</v>
      </c>
      <c r="E469" s="4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 s="5">
        <v>0.52</v>
      </c>
      <c r="O469" t="s">
        <v>33</v>
      </c>
      <c r="P469" t="s">
        <v>34</v>
      </c>
      <c r="Q469" t="s">
        <v>255</v>
      </c>
      <c r="R469" t="s">
        <v>961</v>
      </c>
      <c r="S469" s="7">
        <v>80033</v>
      </c>
      <c r="T469" s="3">
        <v>42028</v>
      </c>
      <c r="U469" s="3">
        <v>42028</v>
      </c>
      <c r="V469" s="4">
        <v>-13.826000000000001</v>
      </c>
      <c r="W469">
        <v>6</v>
      </c>
      <c r="X469">
        <v>89.91</v>
      </c>
      <c r="Y469" s="7">
        <v>90270</v>
      </c>
    </row>
    <row r="470" spans="1:25" ht="12.75" customHeight="1">
      <c r="A470">
        <v>19173</v>
      </c>
      <c r="B470" t="s">
        <v>25</v>
      </c>
      <c r="C470" s="4">
        <v>0</v>
      </c>
      <c r="D470" s="8">
        <v>11.66</v>
      </c>
      <c r="E470" s="4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 s="5">
        <v>0.59</v>
      </c>
      <c r="O470" t="s">
        <v>33</v>
      </c>
      <c r="P470" t="s">
        <v>34</v>
      </c>
      <c r="Q470" t="s">
        <v>45</v>
      </c>
      <c r="R470" t="s">
        <v>964</v>
      </c>
      <c r="S470" s="7">
        <v>95020</v>
      </c>
      <c r="T470" s="3">
        <v>42013</v>
      </c>
      <c r="U470" s="3">
        <v>42015</v>
      </c>
      <c r="V470" s="4">
        <v>-203.67000000000002</v>
      </c>
      <c r="W470">
        <v>11</v>
      </c>
      <c r="X470">
        <v>138.51</v>
      </c>
      <c r="Y470" s="7">
        <v>89770</v>
      </c>
    </row>
    <row r="471" spans="1:25" ht="12.75" customHeight="1">
      <c r="A471">
        <v>19383</v>
      </c>
      <c r="B471" t="s">
        <v>37</v>
      </c>
      <c r="C471" s="4">
        <v>7.0000000000000007E-2</v>
      </c>
      <c r="D471" s="8">
        <v>6.08</v>
      </c>
      <c r="E471" s="4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 s="5">
        <v>0.51</v>
      </c>
      <c r="O471" t="s">
        <v>33</v>
      </c>
      <c r="P471" t="s">
        <v>34</v>
      </c>
      <c r="Q471" t="s">
        <v>45</v>
      </c>
      <c r="R471" t="s">
        <v>967</v>
      </c>
      <c r="S471" s="7">
        <v>93117</v>
      </c>
      <c r="T471" s="3">
        <v>42070</v>
      </c>
      <c r="U471" s="3">
        <v>42071</v>
      </c>
      <c r="V471" s="4">
        <v>19.57</v>
      </c>
      <c r="W471">
        <v>7</v>
      </c>
      <c r="X471">
        <v>41.96</v>
      </c>
      <c r="Y471" s="7">
        <v>88569</v>
      </c>
    </row>
    <row r="472" spans="1:25" ht="12.75" customHeight="1">
      <c r="A472">
        <v>20604</v>
      </c>
      <c r="B472" t="s">
        <v>106</v>
      </c>
      <c r="C472" s="4">
        <v>0.1</v>
      </c>
      <c r="D472" s="8">
        <v>50.98</v>
      </c>
      <c r="E472" s="4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 s="5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 s="7">
        <v>91745</v>
      </c>
      <c r="T472" s="3">
        <v>42060</v>
      </c>
      <c r="U472" s="3">
        <v>42062</v>
      </c>
      <c r="V472" s="4">
        <v>98.12</v>
      </c>
      <c r="W472">
        <v>6</v>
      </c>
      <c r="X472">
        <v>300.63</v>
      </c>
      <c r="Y472" s="7">
        <v>88568</v>
      </c>
    </row>
    <row r="473" spans="1:25" ht="12.75" customHeight="1">
      <c r="A473">
        <v>19384</v>
      </c>
      <c r="B473" t="s">
        <v>37</v>
      </c>
      <c r="C473" s="4">
        <v>0.08</v>
      </c>
      <c r="D473" s="8">
        <v>19.899999999999999</v>
      </c>
      <c r="E473" s="4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 s="5">
        <v>0.4</v>
      </c>
      <c r="O473" t="s">
        <v>33</v>
      </c>
      <c r="P473" t="s">
        <v>34</v>
      </c>
      <c r="Q473" t="s">
        <v>45</v>
      </c>
      <c r="R473" t="s">
        <v>970</v>
      </c>
      <c r="S473" s="7">
        <v>91745</v>
      </c>
      <c r="T473" s="3">
        <v>42070</v>
      </c>
      <c r="U473" s="3">
        <v>42072</v>
      </c>
      <c r="V473" s="4">
        <v>107.11</v>
      </c>
      <c r="W473">
        <v>13</v>
      </c>
      <c r="X473">
        <v>240.46</v>
      </c>
      <c r="Y473" s="7">
        <v>88569</v>
      </c>
    </row>
    <row r="474" spans="1:25" ht="12.75" customHeight="1">
      <c r="A474">
        <v>19385</v>
      </c>
      <c r="B474" t="s">
        <v>37</v>
      </c>
      <c r="C474" s="4">
        <v>0.02</v>
      </c>
      <c r="D474" s="8">
        <v>3.36</v>
      </c>
      <c r="E474" s="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 s="5">
        <v>0.4</v>
      </c>
      <c r="O474" t="s">
        <v>33</v>
      </c>
      <c r="P474" t="s">
        <v>34</v>
      </c>
      <c r="Q474" t="s">
        <v>45</v>
      </c>
      <c r="R474" t="s">
        <v>970</v>
      </c>
      <c r="S474" s="7">
        <v>91745</v>
      </c>
      <c r="T474" s="3">
        <v>42070</v>
      </c>
      <c r="U474" s="3">
        <v>42072</v>
      </c>
      <c r="V474" s="4">
        <v>-216.154</v>
      </c>
      <c r="W474">
        <v>21</v>
      </c>
      <c r="X474">
        <v>74.08</v>
      </c>
      <c r="Y474" s="7">
        <v>88569</v>
      </c>
    </row>
    <row r="475" spans="1:25" ht="12.75" customHeight="1">
      <c r="A475">
        <v>21353</v>
      </c>
      <c r="B475" t="s">
        <v>47</v>
      </c>
      <c r="C475" s="4">
        <v>0.06</v>
      </c>
      <c r="D475" s="8">
        <v>1.26</v>
      </c>
      <c r="E475" s="4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 s="5">
        <v>0.81</v>
      </c>
      <c r="O475" t="s">
        <v>33</v>
      </c>
      <c r="P475" t="s">
        <v>34</v>
      </c>
      <c r="Q475" t="s">
        <v>45</v>
      </c>
      <c r="R475" t="s">
        <v>970</v>
      </c>
      <c r="S475" s="7">
        <v>91745</v>
      </c>
      <c r="T475" s="3">
        <v>42124</v>
      </c>
      <c r="U475" s="3">
        <v>42124</v>
      </c>
      <c r="V475" s="4">
        <v>-6.6096000000000004</v>
      </c>
      <c r="W475">
        <v>4</v>
      </c>
      <c r="X475">
        <v>5.28</v>
      </c>
      <c r="Y475" s="7">
        <v>88571</v>
      </c>
    </row>
    <row r="476" spans="1:25" ht="12.75" customHeight="1">
      <c r="A476">
        <v>26093</v>
      </c>
      <c r="B476" t="s">
        <v>25</v>
      </c>
      <c r="C476" s="4">
        <v>0.05</v>
      </c>
      <c r="D476" s="8">
        <v>4.24</v>
      </c>
      <c r="E476" s="4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 s="5">
        <v>0.35</v>
      </c>
      <c r="O476" t="s">
        <v>33</v>
      </c>
      <c r="P476" t="s">
        <v>34</v>
      </c>
      <c r="Q476" t="s">
        <v>45</v>
      </c>
      <c r="R476" t="s">
        <v>974</v>
      </c>
      <c r="S476" s="7">
        <v>92345</v>
      </c>
      <c r="T476" s="3">
        <v>42079</v>
      </c>
      <c r="U476" s="3">
        <v>42081</v>
      </c>
      <c r="V476" s="4">
        <v>-89.216999999999999</v>
      </c>
      <c r="W476">
        <v>12</v>
      </c>
      <c r="X476">
        <v>50.83</v>
      </c>
      <c r="Y476" s="7">
        <v>88570</v>
      </c>
    </row>
    <row r="477" spans="1:25" ht="12.75" customHeight="1">
      <c r="A477">
        <v>21351</v>
      </c>
      <c r="B477" t="s">
        <v>47</v>
      </c>
      <c r="C477" s="4">
        <v>0.06</v>
      </c>
      <c r="D477" s="8">
        <v>1.76</v>
      </c>
      <c r="E477" s="4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 s="5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 s="7">
        <v>6405</v>
      </c>
      <c r="T477" s="3">
        <v>42124</v>
      </c>
      <c r="U477" s="3">
        <v>42126</v>
      </c>
      <c r="V477" s="4">
        <v>1.2236</v>
      </c>
      <c r="W477">
        <v>22</v>
      </c>
      <c r="X477">
        <v>39.26</v>
      </c>
      <c r="Y477" s="7">
        <v>88571</v>
      </c>
    </row>
    <row r="478" spans="1:25" ht="12.75" customHeight="1">
      <c r="A478">
        <v>21352</v>
      </c>
      <c r="B478" t="s">
        <v>47</v>
      </c>
      <c r="C478" s="4">
        <v>0.02</v>
      </c>
      <c r="D478" s="8">
        <v>24.98</v>
      </c>
      <c r="E478" s="4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 s="5">
        <v>0.66</v>
      </c>
      <c r="O478" t="s">
        <v>33</v>
      </c>
      <c r="P478" t="s">
        <v>53</v>
      </c>
      <c r="Q478" t="s">
        <v>228</v>
      </c>
      <c r="R478" t="s">
        <v>979</v>
      </c>
      <c r="S478" s="7">
        <v>6810</v>
      </c>
      <c r="T478" s="3">
        <v>42124</v>
      </c>
      <c r="U478" s="3">
        <v>42125</v>
      </c>
      <c r="V478" s="4">
        <v>4.3148</v>
      </c>
      <c r="W478">
        <v>23</v>
      </c>
      <c r="X478">
        <v>606.51</v>
      </c>
      <c r="Y478" s="7">
        <v>88571</v>
      </c>
    </row>
    <row r="479" spans="1:25" ht="12.75" customHeight="1">
      <c r="A479">
        <v>21354</v>
      </c>
      <c r="B479" t="s">
        <v>47</v>
      </c>
      <c r="C479" s="4">
        <v>0.05</v>
      </c>
      <c r="D479" s="8">
        <v>35.99</v>
      </c>
      <c r="E479" s="4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 s="5">
        <v>0.38</v>
      </c>
      <c r="O479" t="s">
        <v>33</v>
      </c>
      <c r="P479" t="s">
        <v>53</v>
      </c>
      <c r="Q479" t="s">
        <v>188</v>
      </c>
      <c r="R479" t="s">
        <v>476</v>
      </c>
      <c r="S479" s="7">
        <v>4240</v>
      </c>
      <c r="T479" s="3">
        <v>42124</v>
      </c>
      <c r="U479" s="3">
        <v>42126</v>
      </c>
      <c r="V479" s="4">
        <v>-125.83296</v>
      </c>
      <c r="W479">
        <v>2</v>
      </c>
      <c r="X479">
        <v>64.89</v>
      </c>
      <c r="Y479" s="7">
        <v>88571</v>
      </c>
    </row>
    <row r="480" spans="1:25" ht="12.75" customHeight="1">
      <c r="A480">
        <v>21214</v>
      </c>
      <c r="B480" t="s">
        <v>47</v>
      </c>
      <c r="C480" s="4">
        <v>0.03</v>
      </c>
      <c r="D480" s="8">
        <v>14.2</v>
      </c>
      <c r="E480" s="4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 s="5">
        <v>0.46</v>
      </c>
      <c r="O480" t="s">
        <v>33</v>
      </c>
      <c r="P480" t="s">
        <v>61</v>
      </c>
      <c r="Q480" t="s">
        <v>703</v>
      </c>
      <c r="R480" t="s">
        <v>832</v>
      </c>
      <c r="S480" s="7">
        <v>46312</v>
      </c>
      <c r="T480" s="3">
        <v>42151</v>
      </c>
      <c r="U480" s="3">
        <v>42152</v>
      </c>
      <c r="V480" s="4">
        <v>122.21</v>
      </c>
      <c r="W480">
        <v>18</v>
      </c>
      <c r="X480">
        <v>267.2</v>
      </c>
      <c r="Y480" s="7">
        <v>90674</v>
      </c>
    </row>
    <row r="481" spans="1:25" ht="12.75" customHeight="1">
      <c r="A481">
        <v>19947</v>
      </c>
      <c r="B481" t="s">
        <v>106</v>
      </c>
      <c r="C481" s="4">
        <v>0.04</v>
      </c>
      <c r="D481" s="8">
        <v>6.48</v>
      </c>
      <c r="E481" s="4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 s="5">
        <v>0.37</v>
      </c>
      <c r="O481" t="s">
        <v>33</v>
      </c>
      <c r="P481" t="s">
        <v>61</v>
      </c>
      <c r="Q481" t="s">
        <v>703</v>
      </c>
      <c r="R481" t="s">
        <v>832</v>
      </c>
      <c r="S481" s="7">
        <v>46312</v>
      </c>
      <c r="T481" s="3">
        <v>42061</v>
      </c>
      <c r="U481" s="3">
        <v>42065</v>
      </c>
      <c r="V481" s="4">
        <v>-11.1332</v>
      </c>
      <c r="W481">
        <v>12</v>
      </c>
      <c r="X481">
        <v>86.79</v>
      </c>
      <c r="Y481" s="7">
        <v>90675</v>
      </c>
    </row>
    <row r="482" spans="1:25" ht="12.75" customHeight="1">
      <c r="A482">
        <v>24774</v>
      </c>
      <c r="B482" t="s">
        <v>37</v>
      </c>
      <c r="C482" s="4">
        <v>0.04</v>
      </c>
      <c r="D482" s="8">
        <v>29.18</v>
      </c>
      <c r="E482" s="4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 s="5">
        <v>0.42</v>
      </c>
      <c r="O482" t="s">
        <v>33</v>
      </c>
      <c r="P482" t="s">
        <v>61</v>
      </c>
      <c r="Q482" t="s">
        <v>62</v>
      </c>
      <c r="R482" t="s">
        <v>986</v>
      </c>
      <c r="S482" s="7">
        <v>55126</v>
      </c>
      <c r="T482" s="3">
        <v>42060</v>
      </c>
      <c r="U482" s="3">
        <v>42062</v>
      </c>
      <c r="V482" s="4">
        <v>201.7353</v>
      </c>
      <c r="W482">
        <v>10</v>
      </c>
      <c r="X482">
        <v>292.37</v>
      </c>
      <c r="Y482" s="7">
        <v>91194</v>
      </c>
    </row>
    <row r="483" spans="1:25" ht="12.75" customHeight="1">
      <c r="A483">
        <v>24775</v>
      </c>
      <c r="B483" t="s">
        <v>37</v>
      </c>
      <c r="C483" s="4">
        <v>0</v>
      </c>
      <c r="D483" s="8">
        <v>80.98</v>
      </c>
      <c r="E483" s="4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 s="5">
        <v>0.83</v>
      </c>
      <c r="O483" t="s">
        <v>33</v>
      </c>
      <c r="P483" t="s">
        <v>61</v>
      </c>
      <c r="Q483" t="s">
        <v>62</v>
      </c>
      <c r="R483" t="s">
        <v>986</v>
      </c>
      <c r="S483" s="7">
        <v>55126</v>
      </c>
      <c r="T483" s="3">
        <v>42060</v>
      </c>
      <c r="U483" s="3">
        <v>42062</v>
      </c>
      <c r="V483" s="4">
        <v>-684.78</v>
      </c>
      <c r="W483">
        <v>8</v>
      </c>
      <c r="X483">
        <v>682.79</v>
      </c>
      <c r="Y483" s="7">
        <v>91194</v>
      </c>
    </row>
    <row r="484" spans="1:25" ht="12.75" customHeight="1">
      <c r="A484">
        <v>24763</v>
      </c>
      <c r="B484" t="s">
        <v>47</v>
      </c>
      <c r="C484" s="4">
        <v>0.06</v>
      </c>
      <c r="D484" s="8">
        <v>6.48</v>
      </c>
      <c r="E484" s="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 s="5">
        <v>0.37</v>
      </c>
      <c r="O484" t="s">
        <v>33</v>
      </c>
      <c r="P484" t="s">
        <v>61</v>
      </c>
      <c r="Q484" t="s">
        <v>62</v>
      </c>
      <c r="R484" t="s">
        <v>986</v>
      </c>
      <c r="S484" s="7">
        <v>55126</v>
      </c>
      <c r="T484" s="3">
        <v>42069</v>
      </c>
      <c r="U484" s="3">
        <v>42070</v>
      </c>
      <c r="V484" s="4">
        <v>-237.47</v>
      </c>
      <c r="W484">
        <v>20</v>
      </c>
      <c r="X484">
        <v>125.77</v>
      </c>
      <c r="Y484" s="7">
        <v>91195</v>
      </c>
    </row>
    <row r="485" spans="1:25" ht="12.75" customHeight="1">
      <c r="A485">
        <v>24764</v>
      </c>
      <c r="B485" t="s">
        <v>47</v>
      </c>
      <c r="C485" s="4">
        <v>0.09</v>
      </c>
      <c r="D485" s="8">
        <v>349.45</v>
      </c>
      <c r="E485" s="4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 s="7">
        <v>55126</v>
      </c>
      <c r="T485" s="3">
        <v>42069</v>
      </c>
      <c r="U485" s="3">
        <v>42070</v>
      </c>
      <c r="V485" s="4">
        <v>-2946.0509999999999</v>
      </c>
      <c r="W485">
        <v>12</v>
      </c>
      <c r="X485">
        <v>3918.98</v>
      </c>
      <c r="Y485" s="7">
        <v>91195</v>
      </c>
    </row>
    <row r="486" spans="1:25" ht="12.75" customHeight="1">
      <c r="A486">
        <v>25507</v>
      </c>
      <c r="B486" t="s">
        <v>37</v>
      </c>
      <c r="C486" s="4">
        <v>0.03</v>
      </c>
      <c r="D486" s="8">
        <v>14.2</v>
      </c>
      <c r="E486" s="4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 s="5">
        <v>0.46</v>
      </c>
      <c r="O486" t="s">
        <v>33</v>
      </c>
      <c r="P486" t="s">
        <v>34</v>
      </c>
      <c r="Q486" t="s">
        <v>533</v>
      </c>
      <c r="R486" t="s">
        <v>991</v>
      </c>
      <c r="S486" s="7">
        <v>89502</v>
      </c>
      <c r="T486" s="3">
        <v>42078</v>
      </c>
      <c r="U486" s="3">
        <v>42080</v>
      </c>
      <c r="V486" s="4">
        <v>21.555599999999998</v>
      </c>
      <c r="W486">
        <v>2</v>
      </c>
      <c r="X486">
        <v>31.24</v>
      </c>
      <c r="Y486" s="7">
        <v>90577</v>
      </c>
    </row>
    <row r="487" spans="1:25" ht="12.75" customHeight="1">
      <c r="A487">
        <v>22547</v>
      </c>
      <c r="B487" t="s">
        <v>37</v>
      </c>
      <c r="C487" s="4">
        <v>0.01</v>
      </c>
      <c r="D487" s="8">
        <v>5.94</v>
      </c>
      <c r="E487" s="4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 s="5">
        <v>0.38</v>
      </c>
      <c r="O487" t="s">
        <v>33</v>
      </c>
      <c r="P487" t="s">
        <v>34</v>
      </c>
      <c r="Q487" t="s">
        <v>533</v>
      </c>
      <c r="R487" t="s">
        <v>991</v>
      </c>
      <c r="S487" s="7">
        <v>89502</v>
      </c>
      <c r="T487" s="3">
        <v>42144</v>
      </c>
      <c r="U487" s="3">
        <v>42147</v>
      </c>
      <c r="V487" s="4">
        <v>-239.315</v>
      </c>
      <c r="W487">
        <v>12</v>
      </c>
      <c r="X487">
        <v>74.77</v>
      </c>
      <c r="Y487" s="7">
        <v>90578</v>
      </c>
    </row>
    <row r="488" spans="1:25" ht="12.75" customHeight="1">
      <c r="A488">
        <v>22548</v>
      </c>
      <c r="B488" t="s">
        <v>37</v>
      </c>
      <c r="C488" s="4">
        <v>0</v>
      </c>
      <c r="D488" s="8">
        <v>6.48</v>
      </c>
      <c r="E488" s="4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 s="5">
        <v>0.37</v>
      </c>
      <c r="O488" t="s">
        <v>33</v>
      </c>
      <c r="P488" t="s">
        <v>34</v>
      </c>
      <c r="Q488" t="s">
        <v>533</v>
      </c>
      <c r="R488" t="s">
        <v>991</v>
      </c>
      <c r="S488" s="7">
        <v>89502</v>
      </c>
      <c r="T488" s="3">
        <v>42144</v>
      </c>
      <c r="U488" s="3">
        <v>42146</v>
      </c>
      <c r="V488" s="4">
        <v>-33.31</v>
      </c>
      <c r="W488">
        <v>18</v>
      </c>
      <c r="X488">
        <v>127.81</v>
      </c>
      <c r="Y488" s="7">
        <v>90578</v>
      </c>
    </row>
    <row r="489" spans="1:25" ht="12.75" customHeight="1">
      <c r="A489">
        <v>19262</v>
      </c>
      <c r="B489" t="s">
        <v>25</v>
      </c>
      <c r="C489" s="4">
        <v>0.04</v>
      </c>
      <c r="D489" s="8">
        <v>4.37</v>
      </c>
      <c r="E489" s="4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 s="5">
        <v>0.59</v>
      </c>
      <c r="O489" t="s">
        <v>33</v>
      </c>
      <c r="P489" t="s">
        <v>34</v>
      </c>
      <c r="Q489" t="s">
        <v>212</v>
      </c>
      <c r="R489" t="s">
        <v>995</v>
      </c>
      <c r="S489" s="7">
        <v>84106</v>
      </c>
      <c r="T489" s="3">
        <v>42056</v>
      </c>
      <c r="U489" s="3">
        <v>42057</v>
      </c>
      <c r="V489" s="4">
        <v>-74.479599999999991</v>
      </c>
      <c r="W489">
        <v>18</v>
      </c>
      <c r="X489">
        <v>78.59</v>
      </c>
      <c r="Y489" s="7">
        <v>89059</v>
      </c>
    </row>
    <row r="490" spans="1:25" ht="12.75" customHeight="1">
      <c r="A490">
        <v>19263</v>
      </c>
      <c r="B490" t="s">
        <v>25</v>
      </c>
      <c r="C490" s="4">
        <v>0.09</v>
      </c>
      <c r="D490" s="8">
        <v>155.99</v>
      </c>
      <c r="E490" s="4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 s="5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 s="7">
        <v>84106</v>
      </c>
      <c r="T490" s="3">
        <v>42056</v>
      </c>
      <c r="U490" s="3">
        <v>42058</v>
      </c>
      <c r="V490" s="4">
        <v>-232.22056000000003</v>
      </c>
      <c r="W490">
        <v>4</v>
      </c>
      <c r="X490">
        <v>497.11</v>
      </c>
      <c r="Y490" s="7">
        <v>89059</v>
      </c>
    </row>
    <row r="491" spans="1:25">
      <c r="A491">
        <v>18054</v>
      </c>
      <c r="B491" t="s">
        <v>47</v>
      </c>
      <c r="C491" s="4">
        <v>7.0000000000000007E-2</v>
      </c>
      <c r="D491" s="8">
        <v>5.68</v>
      </c>
      <c r="E491" s="4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 s="5">
        <v>0.38</v>
      </c>
      <c r="O491" t="s">
        <v>33</v>
      </c>
      <c r="P491" t="s">
        <v>34</v>
      </c>
      <c r="Q491" t="s">
        <v>378</v>
      </c>
      <c r="R491" t="s">
        <v>999</v>
      </c>
      <c r="S491" s="7">
        <v>85254</v>
      </c>
      <c r="T491" s="3">
        <v>42088</v>
      </c>
      <c r="U491" s="3">
        <v>42090</v>
      </c>
      <c r="V491" s="4">
        <v>18.643799999999999</v>
      </c>
      <c r="W491">
        <v>5</v>
      </c>
      <c r="X491">
        <v>27.02</v>
      </c>
      <c r="Y491" s="7">
        <v>86153</v>
      </c>
    </row>
    <row r="492" spans="1:25">
      <c r="A492">
        <v>18055</v>
      </c>
      <c r="B492" t="s">
        <v>47</v>
      </c>
      <c r="C492" s="4">
        <v>0.06</v>
      </c>
      <c r="D492" s="8">
        <v>22.84</v>
      </c>
      <c r="E492" s="4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 s="5">
        <v>0.39</v>
      </c>
      <c r="O492" t="s">
        <v>33</v>
      </c>
      <c r="P492" t="s">
        <v>34</v>
      </c>
      <c r="Q492" t="s">
        <v>378</v>
      </c>
      <c r="R492" t="s">
        <v>999</v>
      </c>
      <c r="S492" s="7">
        <v>85254</v>
      </c>
      <c r="T492" s="3">
        <v>42088</v>
      </c>
      <c r="U492" s="3">
        <v>42090</v>
      </c>
      <c r="V492" s="4">
        <v>-31.24</v>
      </c>
      <c r="W492">
        <v>1</v>
      </c>
      <c r="X492">
        <v>27.67</v>
      </c>
      <c r="Y492" s="7">
        <v>86153</v>
      </c>
    </row>
    <row r="493" spans="1:25" ht="12.75" customHeight="1">
      <c r="A493">
        <v>19401</v>
      </c>
      <c r="B493" t="s">
        <v>47</v>
      </c>
      <c r="C493" s="4">
        <v>0.06</v>
      </c>
      <c r="D493" s="8">
        <v>25.98</v>
      </c>
      <c r="E493" s="4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 s="5">
        <v>0.6</v>
      </c>
      <c r="O493" t="s">
        <v>33</v>
      </c>
      <c r="P493" t="s">
        <v>61</v>
      </c>
      <c r="Q493" t="s">
        <v>130</v>
      </c>
      <c r="R493" t="s">
        <v>956</v>
      </c>
      <c r="S493" s="7">
        <v>79109</v>
      </c>
      <c r="T493" s="3">
        <v>42148</v>
      </c>
      <c r="U493" s="3">
        <v>42149</v>
      </c>
      <c r="V493" s="4">
        <v>55.888000000000034</v>
      </c>
      <c r="W493">
        <v>41</v>
      </c>
      <c r="X493">
        <v>1033.56</v>
      </c>
      <c r="Y493" s="7">
        <v>89537</v>
      </c>
    </row>
    <row r="494" spans="1:25" ht="12.75" customHeight="1">
      <c r="A494">
        <v>26011</v>
      </c>
      <c r="B494" t="s">
        <v>47</v>
      </c>
      <c r="C494" s="4">
        <v>0.08</v>
      </c>
      <c r="D494" s="8">
        <v>1.81</v>
      </c>
      <c r="E494" s="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 s="5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 s="7">
        <v>76021</v>
      </c>
      <c r="T494" s="3">
        <v>42009</v>
      </c>
      <c r="U494" s="3">
        <v>42010</v>
      </c>
      <c r="V494" s="4">
        <v>1.3224</v>
      </c>
      <c r="W494">
        <v>11</v>
      </c>
      <c r="X494">
        <v>19.97</v>
      </c>
      <c r="Y494" s="7">
        <v>89536</v>
      </c>
    </row>
    <row r="495" spans="1:25" ht="12.75" customHeight="1">
      <c r="A495">
        <v>26015</v>
      </c>
      <c r="B495" t="s">
        <v>47</v>
      </c>
      <c r="C495" s="4">
        <v>0.04</v>
      </c>
      <c r="D495" s="8">
        <v>125.99</v>
      </c>
      <c r="E495" s="4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 s="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 s="7">
        <v>76021</v>
      </c>
      <c r="T495" s="3">
        <v>42009</v>
      </c>
      <c r="U495" s="3">
        <v>42009</v>
      </c>
      <c r="V495" s="4">
        <v>455.42069999999995</v>
      </c>
      <c r="W495">
        <v>6</v>
      </c>
      <c r="X495">
        <v>660.03</v>
      </c>
      <c r="Y495" s="7">
        <v>89536</v>
      </c>
    </row>
    <row r="496" spans="1:25" ht="12.75" customHeight="1">
      <c r="A496">
        <v>2045</v>
      </c>
      <c r="B496" t="s">
        <v>47</v>
      </c>
      <c r="C496" s="4">
        <v>0.01</v>
      </c>
      <c r="D496" s="8">
        <v>8.34</v>
      </c>
      <c r="E496" s="4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 s="5">
        <v>0.43</v>
      </c>
      <c r="O496" t="s">
        <v>33</v>
      </c>
      <c r="P496" t="s">
        <v>53</v>
      </c>
      <c r="Q496" t="s">
        <v>1008</v>
      </c>
      <c r="R496" t="s">
        <v>35</v>
      </c>
      <c r="S496" s="7">
        <v>20024</v>
      </c>
      <c r="T496" s="3">
        <v>42014</v>
      </c>
      <c r="U496" s="3">
        <v>42016</v>
      </c>
      <c r="V496" s="4">
        <v>29.332000000000001</v>
      </c>
      <c r="W496">
        <v>24</v>
      </c>
      <c r="X496">
        <v>199.12</v>
      </c>
      <c r="Y496" s="7">
        <v>14596</v>
      </c>
    </row>
    <row r="497" spans="1:25" ht="12.75" customHeight="1">
      <c r="A497">
        <v>2046</v>
      </c>
      <c r="B497" t="s">
        <v>47</v>
      </c>
      <c r="C497" s="4">
        <v>0.06</v>
      </c>
      <c r="D497" s="8">
        <v>3.28</v>
      </c>
      <c r="E497" s="4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 s="5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 s="7">
        <v>20024</v>
      </c>
      <c r="T497" s="3">
        <v>42014</v>
      </c>
      <c r="U497" s="3">
        <v>42015</v>
      </c>
      <c r="V497" s="4">
        <v>-86</v>
      </c>
      <c r="W497">
        <v>19</v>
      </c>
      <c r="X497">
        <v>63.14</v>
      </c>
      <c r="Y497" s="7">
        <v>14596</v>
      </c>
    </row>
    <row r="498" spans="1:25" ht="12.75" customHeight="1">
      <c r="A498">
        <v>5421</v>
      </c>
      <c r="B498" t="s">
        <v>106</v>
      </c>
      <c r="C498" s="4">
        <v>0.02</v>
      </c>
      <c r="D498" s="8">
        <v>1.1399999999999999</v>
      </c>
      <c r="E498" s="4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 s="5">
        <v>0.38</v>
      </c>
      <c r="O498" t="s">
        <v>33</v>
      </c>
      <c r="P498" t="s">
        <v>53</v>
      </c>
      <c r="Q498" t="s">
        <v>1008</v>
      </c>
      <c r="R498" t="s">
        <v>35</v>
      </c>
      <c r="S498" s="7">
        <v>20024</v>
      </c>
      <c r="T498" s="3">
        <v>42037</v>
      </c>
      <c r="U498" s="3">
        <v>42037</v>
      </c>
      <c r="V498" s="4">
        <v>-0.49</v>
      </c>
      <c r="W498">
        <v>38</v>
      </c>
      <c r="X498">
        <v>44.85</v>
      </c>
      <c r="Y498" s="7">
        <v>38529</v>
      </c>
    </row>
    <row r="499" spans="1:25" ht="12.75" customHeight="1">
      <c r="A499">
        <v>20045</v>
      </c>
      <c r="B499" t="s">
        <v>47</v>
      </c>
      <c r="C499" s="4">
        <v>0.01</v>
      </c>
      <c r="D499" s="8">
        <v>8.34</v>
      </c>
      <c r="E499" s="4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 s="5">
        <v>0.43</v>
      </c>
      <c r="O499" t="s">
        <v>33</v>
      </c>
      <c r="P499" t="s">
        <v>61</v>
      </c>
      <c r="Q499" t="s">
        <v>130</v>
      </c>
      <c r="R499" t="s">
        <v>1012</v>
      </c>
      <c r="S499" s="7">
        <v>76201</v>
      </c>
      <c r="T499" s="3">
        <v>42014</v>
      </c>
      <c r="U499" s="3">
        <v>42016</v>
      </c>
      <c r="V499" s="4">
        <v>34.348199999999999</v>
      </c>
      <c r="W499">
        <v>6</v>
      </c>
      <c r="X499">
        <v>49.78</v>
      </c>
      <c r="Y499" s="7">
        <v>90166</v>
      </c>
    </row>
    <row r="500" spans="1:25" ht="12.75" customHeight="1">
      <c r="A500">
        <v>20046</v>
      </c>
      <c r="B500" t="s">
        <v>47</v>
      </c>
      <c r="C500" s="4">
        <v>0.06</v>
      </c>
      <c r="D500" s="8">
        <v>3.28</v>
      </c>
      <c r="E500" s="4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 s="5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 s="7">
        <v>76201</v>
      </c>
      <c r="T500" s="3">
        <v>42014</v>
      </c>
      <c r="U500" s="3">
        <v>42015</v>
      </c>
      <c r="V500" s="4">
        <v>-66.650000000000006</v>
      </c>
      <c r="W500">
        <v>5</v>
      </c>
      <c r="X500">
        <v>16.62</v>
      </c>
      <c r="Y500" s="7">
        <v>90166</v>
      </c>
    </row>
    <row r="501" spans="1:25" ht="12.75" customHeight="1">
      <c r="A501">
        <v>19470</v>
      </c>
      <c r="B501" t="s">
        <v>47</v>
      </c>
      <c r="C501" s="4">
        <v>0.06</v>
      </c>
      <c r="D501" s="8">
        <v>47.98</v>
      </c>
      <c r="E501" s="4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 s="5">
        <v>0.71</v>
      </c>
      <c r="O501" t="s">
        <v>33</v>
      </c>
      <c r="P501" t="s">
        <v>61</v>
      </c>
      <c r="Q501" t="s">
        <v>130</v>
      </c>
      <c r="R501" t="s">
        <v>1012</v>
      </c>
      <c r="S501" s="7">
        <v>76201</v>
      </c>
      <c r="T501" s="3">
        <v>42175</v>
      </c>
      <c r="U501" s="3">
        <v>42177</v>
      </c>
      <c r="V501" s="4">
        <v>35.954999999999998</v>
      </c>
      <c r="W501">
        <v>11</v>
      </c>
      <c r="X501">
        <v>517.67999999999995</v>
      </c>
      <c r="Y501" s="7">
        <v>90167</v>
      </c>
    </row>
    <row r="502" spans="1:25" ht="12.75" customHeight="1">
      <c r="A502">
        <v>4724</v>
      </c>
      <c r="B502" t="s">
        <v>25</v>
      </c>
      <c r="C502" s="4">
        <v>0.04</v>
      </c>
      <c r="D502" s="8">
        <v>90.97</v>
      </c>
      <c r="E502" s="4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 s="5">
        <v>0.38</v>
      </c>
      <c r="O502" t="s">
        <v>33</v>
      </c>
      <c r="P502" t="s">
        <v>53</v>
      </c>
      <c r="Q502" t="s">
        <v>71</v>
      </c>
      <c r="R502" t="s">
        <v>90</v>
      </c>
      <c r="S502" s="7">
        <v>10039</v>
      </c>
      <c r="T502" s="3">
        <v>42016</v>
      </c>
      <c r="U502" s="3">
        <v>42017</v>
      </c>
      <c r="V502" s="4">
        <v>-173.09520000000001</v>
      </c>
      <c r="W502">
        <v>6</v>
      </c>
      <c r="X502">
        <v>573.30999999999995</v>
      </c>
      <c r="Y502" s="7">
        <v>33635</v>
      </c>
    </row>
    <row r="503" spans="1:25" ht="12.75" customHeight="1">
      <c r="A503">
        <v>4725</v>
      </c>
      <c r="B503" t="s">
        <v>25</v>
      </c>
      <c r="C503" s="4">
        <v>7.0000000000000007E-2</v>
      </c>
      <c r="D503" s="8">
        <v>20.34</v>
      </c>
      <c r="E503" s="4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 s="5">
        <v>0.84</v>
      </c>
      <c r="O503" t="s">
        <v>33</v>
      </c>
      <c r="P503" t="s">
        <v>53</v>
      </c>
      <c r="Q503" t="s">
        <v>71</v>
      </c>
      <c r="R503" t="s">
        <v>90</v>
      </c>
      <c r="S503" s="7">
        <v>10039</v>
      </c>
      <c r="T503" s="3">
        <v>42016</v>
      </c>
      <c r="U503" s="3">
        <v>42017</v>
      </c>
      <c r="V503" s="4">
        <v>-96.16</v>
      </c>
      <c r="W503">
        <v>5</v>
      </c>
      <c r="X503">
        <v>140.22999999999999</v>
      </c>
      <c r="Y503" s="7">
        <v>33635</v>
      </c>
    </row>
    <row r="504" spans="1:25" ht="12.75" customHeight="1">
      <c r="A504">
        <v>1311</v>
      </c>
      <c r="B504" t="s">
        <v>37</v>
      </c>
      <c r="C504" s="4">
        <v>0.02</v>
      </c>
      <c r="D504" s="8">
        <v>12.53</v>
      </c>
      <c r="E504" s="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 s="5">
        <v>0.38</v>
      </c>
      <c r="O504" t="s">
        <v>33</v>
      </c>
      <c r="P504" t="s">
        <v>53</v>
      </c>
      <c r="Q504" t="s">
        <v>71</v>
      </c>
      <c r="R504" t="s">
        <v>90</v>
      </c>
      <c r="S504" s="7">
        <v>10039</v>
      </c>
      <c r="T504" s="3">
        <v>42031</v>
      </c>
      <c r="U504" s="3">
        <v>42031</v>
      </c>
      <c r="V504" s="4">
        <v>263.39999999999998</v>
      </c>
      <c r="W504">
        <v>47</v>
      </c>
      <c r="X504">
        <v>594.44000000000005</v>
      </c>
      <c r="Y504" s="7">
        <v>9606</v>
      </c>
    </row>
    <row r="505" spans="1:25" ht="12.75" customHeight="1">
      <c r="A505">
        <v>1312</v>
      </c>
      <c r="B505" t="s">
        <v>37</v>
      </c>
      <c r="C505" s="4">
        <v>7.0000000000000007E-2</v>
      </c>
      <c r="D505" s="8">
        <v>5.18</v>
      </c>
      <c r="E505" s="4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 s="5">
        <v>0.36</v>
      </c>
      <c r="O505" t="s">
        <v>33</v>
      </c>
      <c r="P505" t="s">
        <v>53</v>
      </c>
      <c r="Q505" t="s">
        <v>71</v>
      </c>
      <c r="R505" t="s">
        <v>90</v>
      </c>
      <c r="S505" s="7">
        <v>10039</v>
      </c>
      <c r="T505" s="3">
        <v>42031</v>
      </c>
      <c r="U505" s="3">
        <v>42033</v>
      </c>
      <c r="V505" s="4">
        <v>37.31</v>
      </c>
      <c r="W505">
        <v>44</v>
      </c>
      <c r="X505">
        <v>228.5</v>
      </c>
      <c r="Y505" s="7">
        <v>9606</v>
      </c>
    </row>
    <row r="506" spans="1:25" ht="12.75" customHeight="1">
      <c r="A506">
        <v>22724</v>
      </c>
      <c r="B506" t="s">
        <v>25</v>
      </c>
      <c r="C506" s="4">
        <v>0.04</v>
      </c>
      <c r="D506" s="8">
        <v>90.97</v>
      </c>
      <c r="E506" s="4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 s="5">
        <v>0.38</v>
      </c>
      <c r="O506" t="s">
        <v>33</v>
      </c>
      <c r="P506" t="s">
        <v>53</v>
      </c>
      <c r="Q506" t="s">
        <v>234</v>
      </c>
      <c r="R506" t="s">
        <v>1018</v>
      </c>
      <c r="S506" s="7">
        <v>16602</v>
      </c>
      <c r="T506" s="3">
        <v>42016</v>
      </c>
      <c r="U506" s="3">
        <v>42017</v>
      </c>
      <c r="V506" s="4">
        <v>-173.09520000000001</v>
      </c>
      <c r="W506">
        <v>2</v>
      </c>
      <c r="X506">
        <v>191.1</v>
      </c>
      <c r="Y506" s="7">
        <v>86263</v>
      </c>
    </row>
    <row r="507" spans="1:25" ht="12.75" customHeight="1">
      <c r="A507">
        <v>22725</v>
      </c>
      <c r="B507" t="s">
        <v>25</v>
      </c>
      <c r="C507" s="4">
        <v>7.0000000000000007E-2</v>
      </c>
      <c r="D507" s="8">
        <v>20.34</v>
      </c>
      <c r="E507" s="4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 s="5">
        <v>0.84</v>
      </c>
      <c r="O507" t="s">
        <v>33</v>
      </c>
      <c r="P507" t="s">
        <v>53</v>
      </c>
      <c r="Q507" t="s">
        <v>234</v>
      </c>
      <c r="R507" t="s">
        <v>1018</v>
      </c>
      <c r="S507" s="7">
        <v>16602</v>
      </c>
      <c r="T507" s="3">
        <v>42016</v>
      </c>
      <c r="U507" s="3">
        <v>42017</v>
      </c>
      <c r="V507" s="4">
        <v>-96.16</v>
      </c>
      <c r="W507">
        <v>1</v>
      </c>
      <c r="X507">
        <v>28.05</v>
      </c>
      <c r="Y507" s="7">
        <v>86263</v>
      </c>
    </row>
    <row r="508" spans="1:25" ht="12.75" customHeight="1">
      <c r="A508">
        <v>19311</v>
      </c>
      <c r="B508" t="s">
        <v>37</v>
      </c>
      <c r="C508" s="4">
        <v>0.02</v>
      </c>
      <c r="D508" s="8">
        <v>12.53</v>
      </c>
      <c r="E508" s="4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 s="5">
        <v>0.38</v>
      </c>
      <c r="O508" t="s">
        <v>33</v>
      </c>
      <c r="P508" t="s">
        <v>53</v>
      </c>
      <c r="Q508" t="s">
        <v>234</v>
      </c>
      <c r="R508" t="s">
        <v>1018</v>
      </c>
      <c r="S508" s="7">
        <v>16602</v>
      </c>
      <c r="T508" s="3">
        <v>42031</v>
      </c>
      <c r="U508" s="3">
        <v>42031</v>
      </c>
      <c r="V508" s="4">
        <v>104.7213</v>
      </c>
      <c r="W508">
        <v>12</v>
      </c>
      <c r="X508">
        <v>151.77000000000001</v>
      </c>
      <c r="Y508" s="7">
        <v>86264</v>
      </c>
    </row>
    <row r="509" spans="1:25" ht="12.75" customHeight="1">
      <c r="A509">
        <v>19312</v>
      </c>
      <c r="B509" t="s">
        <v>37</v>
      </c>
      <c r="C509" s="4">
        <v>7.0000000000000007E-2</v>
      </c>
      <c r="D509" s="8">
        <v>5.18</v>
      </c>
      <c r="E509" s="4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 s="5">
        <v>0.36</v>
      </c>
      <c r="O509" t="s">
        <v>33</v>
      </c>
      <c r="P509" t="s">
        <v>53</v>
      </c>
      <c r="Q509" t="s">
        <v>234</v>
      </c>
      <c r="R509" t="s">
        <v>1018</v>
      </c>
      <c r="S509" s="7">
        <v>16602</v>
      </c>
      <c r="T509" s="3">
        <v>42031</v>
      </c>
      <c r="U509" s="3">
        <v>42033</v>
      </c>
      <c r="V509" s="4">
        <v>37.31</v>
      </c>
      <c r="W509">
        <v>11</v>
      </c>
      <c r="X509">
        <v>57.13</v>
      </c>
      <c r="Y509" s="7">
        <v>86264</v>
      </c>
    </row>
    <row r="510" spans="1:25" ht="12.75" customHeight="1">
      <c r="A510">
        <v>24981</v>
      </c>
      <c r="B510" t="s">
        <v>37</v>
      </c>
      <c r="C510" s="4">
        <v>0</v>
      </c>
      <c r="D510" s="8">
        <v>5.98</v>
      </c>
      <c r="E510" s="4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 s="5">
        <v>0.39</v>
      </c>
      <c r="O510" t="s">
        <v>33</v>
      </c>
      <c r="P510" t="s">
        <v>53</v>
      </c>
      <c r="Q510" t="s">
        <v>193</v>
      </c>
      <c r="R510" t="s">
        <v>1021</v>
      </c>
      <c r="S510" s="7">
        <v>1887</v>
      </c>
      <c r="T510" s="3">
        <v>42075</v>
      </c>
      <c r="U510" s="3">
        <v>42077</v>
      </c>
      <c r="V510" s="4">
        <v>80.674799999999991</v>
      </c>
      <c r="W510">
        <v>18</v>
      </c>
      <c r="X510">
        <v>116.92</v>
      </c>
      <c r="Y510" s="7">
        <v>90806</v>
      </c>
    </row>
    <row r="511" spans="1:25" ht="12.75" customHeight="1">
      <c r="A511">
        <v>22288</v>
      </c>
      <c r="B511" t="s">
        <v>47</v>
      </c>
      <c r="C511" s="4">
        <v>0.09</v>
      </c>
      <c r="D511" s="8">
        <v>35.99</v>
      </c>
      <c r="E511" s="4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 s="5">
        <v>0.38</v>
      </c>
      <c r="O511" t="s">
        <v>33</v>
      </c>
      <c r="P511" t="s">
        <v>136</v>
      </c>
      <c r="Q511" t="s">
        <v>613</v>
      </c>
      <c r="R511" t="s">
        <v>675</v>
      </c>
      <c r="S511" s="7">
        <v>42420</v>
      </c>
      <c r="T511" s="3">
        <v>42061</v>
      </c>
      <c r="U511" s="3">
        <v>42062</v>
      </c>
      <c r="V511" s="4">
        <v>114.3165</v>
      </c>
      <c r="W511">
        <v>5</v>
      </c>
      <c r="X511">
        <v>151.6</v>
      </c>
      <c r="Y511" s="7">
        <v>86459</v>
      </c>
    </row>
    <row r="512" spans="1:25" ht="12.75" customHeight="1">
      <c r="A512">
        <v>21345</v>
      </c>
      <c r="B512" t="s">
        <v>56</v>
      </c>
      <c r="C512" s="4">
        <v>0.09</v>
      </c>
      <c r="D512" s="8">
        <v>2.6</v>
      </c>
      <c r="E512" s="4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 s="5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 s="7">
        <v>42420</v>
      </c>
      <c r="T512" s="3">
        <v>42172</v>
      </c>
      <c r="U512" s="3">
        <v>42174</v>
      </c>
      <c r="V512" s="4">
        <v>1107.4079999999999</v>
      </c>
      <c r="W512">
        <v>12</v>
      </c>
      <c r="X512">
        <v>31.73</v>
      </c>
      <c r="Y512" s="7">
        <v>86460</v>
      </c>
    </row>
    <row r="513" spans="1:25" ht="12.75" customHeight="1">
      <c r="A513">
        <v>19480</v>
      </c>
      <c r="B513" t="s">
        <v>47</v>
      </c>
      <c r="C513" s="4">
        <v>0</v>
      </c>
      <c r="D513" s="8">
        <v>5.28</v>
      </c>
      <c r="E513" s="4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 s="5">
        <v>0.4</v>
      </c>
      <c r="O513" t="s">
        <v>33</v>
      </c>
      <c r="P513" t="s">
        <v>136</v>
      </c>
      <c r="Q513" t="s">
        <v>958</v>
      </c>
      <c r="R513" t="s">
        <v>959</v>
      </c>
      <c r="S513" s="7">
        <v>71854</v>
      </c>
      <c r="T513" s="3">
        <v>42138</v>
      </c>
      <c r="U513" s="3">
        <v>42138</v>
      </c>
      <c r="V513" s="4">
        <v>-149.21199999999999</v>
      </c>
      <c r="W513">
        <v>15</v>
      </c>
      <c r="X513">
        <v>85.26</v>
      </c>
      <c r="Y513" s="7">
        <v>90187</v>
      </c>
    </row>
    <row r="514" spans="1:25" ht="12.75" customHeight="1">
      <c r="A514">
        <v>25356</v>
      </c>
      <c r="B514" t="s">
        <v>37</v>
      </c>
      <c r="C514" s="4">
        <v>0.05</v>
      </c>
      <c r="D514" s="8">
        <v>7.64</v>
      </c>
      <c r="E514" s="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 s="5">
        <v>0.36</v>
      </c>
      <c r="O514" t="s">
        <v>33</v>
      </c>
      <c r="P514" t="s">
        <v>53</v>
      </c>
      <c r="Q514" t="s">
        <v>648</v>
      </c>
      <c r="R514" t="s">
        <v>1027</v>
      </c>
      <c r="S514" s="7">
        <v>26003</v>
      </c>
      <c r="T514" s="3">
        <v>42035</v>
      </c>
      <c r="U514" s="3">
        <v>42037</v>
      </c>
      <c r="V514" s="4">
        <v>-21.018000000000001</v>
      </c>
      <c r="W514">
        <v>2</v>
      </c>
      <c r="X514">
        <v>16.600000000000001</v>
      </c>
      <c r="Y514" s="7">
        <v>90185</v>
      </c>
    </row>
    <row r="515" spans="1:25" ht="12.75" customHeight="1">
      <c r="A515">
        <v>25357</v>
      </c>
      <c r="B515" t="s">
        <v>37</v>
      </c>
      <c r="C515" s="4">
        <v>0.04</v>
      </c>
      <c r="D515" s="8">
        <v>218.75</v>
      </c>
      <c r="E515" s="4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 s="5">
        <v>0.72</v>
      </c>
      <c r="O515" t="s">
        <v>33</v>
      </c>
      <c r="P515" t="s">
        <v>53</v>
      </c>
      <c r="Q515" t="s">
        <v>648</v>
      </c>
      <c r="R515" t="s">
        <v>1027</v>
      </c>
      <c r="S515" s="7">
        <v>26003</v>
      </c>
      <c r="T515" s="3">
        <v>42035</v>
      </c>
      <c r="U515" s="3">
        <v>42036</v>
      </c>
      <c r="V515" s="4">
        <v>-655.52987500000006</v>
      </c>
      <c r="W515">
        <v>10</v>
      </c>
      <c r="X515">
        <v>2285.41</v>
      </c>
      <c r="Y515" s="7">
        <v>90185</v>
      </c>
    </row>
    <row r="516" spans="1:25" ht="12.75" customHeight="1">
      <c r="A516">
        <v>24028</v>
      </c>
      <c r="B516" t="s">
        <v>25</v>
      </c>
      <c r="C516" s="4">
        <v>0.01</v>
      </c>
      <c r="D516" s="8">
        <v>59.76</v>
      </c>
      <c r="E516" s="4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 s="5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 s="7">
        <v>26003</v>
      </c>
      <c r="T516" s="3">
        <v>42098</v>
      </c>
      <c r="U516" s="3">
        <v>42100</v>
      </c>
      <c r="V516" s="4">
        <v>354.32879999999994</v>
      </c>
      <c r="W516">
        <v>8</v>
      </c>
      <c r="X516">
        <v>513.52</v>
      </c>
      <c r="Y516" s="7">
        <v>90186</v>
      </c>
    </row>
    <row r="517" spans="1:25" ht="12.75" customHeight="1">
      <c r="A517">
        <v>24953</v>
      </c>
      <c r="B517" t="s">
        <v>25</v>
      </c>
      <c r="C517" s="4">
        <v>0.06</v>
      </c>
      <c r="D517" s="8">
        <v>350.98</v>
      </c>
      <c r="E517" s="4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 s="5">
        <v>0.61</v>
      </c>
      <c r="O517" t="s">
        <v>33</v>
      </c>
      <c r="P517" t="s">
        <v>61</v>
      </c>
      <c r="Q517" t="s">
        <v>130</v>
      </c>
      <c r="R517" t="s">
        <v>1030</v>
      </c>
      <c r="S517" s="7">
        <v>77803</v>
      </c>
      <c r="T517" s="3">
        <v>42008</v>
      </c>
      <c r="U517" s="3">
        <v>42009</v>
      </c>
      <c r="V517" s="4">
        <v>-489.41559999999998</v>
      </c>
      <c r="W517">
        <v>1</v>
      </c>
      <c r="X517">
        <v>346.52</v>
      </c>
      <c r="Y517" s="7">
        <v>86356</v>
      </c>
    </row>
    <row r="518" spans="1:25" ht="12.75" customHeight="1">
      <c r="A518">
        <v>25833</v>
      </c>
      <c r="B518" t="s">
        <v>106</v>
      </c>
      <c r="C518" s="4">
        <v>0.05</v>
      </c>
      <c r="D518" s="8">
        <v>161.55000000000001</v>
      </c>
      <c r="E518" s="4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 s="5">
        <v>0.66</v>
      </c>
      <c r="O518" t="s">
        <v>33</v>
      </c>
      <c r="P518" t="s">
        <v>61</v>
      </c>
      <c r="Q518" t="s">
        <v>130</v>
      </c>
      <c r="R518" t="s">
        <v>1032</v>
      </c>
      <c r="S518" s="7">
        <v>76028</v>
      </c>
      <c r="T518" s="3">
        <v>42008</v>
      </c>
      <c r="U518" s="3">
        <v>42015</v>
      </c>
      <c r="V518" s="4">
        <v>35.31</v>
      </c>
      <c r="W518">
        <v>3</v>
      </c>
      <c r="X518">
        <v>499.31</v>
      </c>
      <c r="Y518" s="7">
        <v>86357</v>
      </c>
    </row>
    <row r="519" spans="1:25" ht="12.75" customHeight="1">
      <c r="A519">
        <v>25676</v>
      </c>
      <c r="B519" t="s">
        <v>25</v>
      </c>
      <c r="C519" s="4">
        <v>0.05</v>
      </c>
      <c r="D519" s="8">
        <v>35.51</v>
      </c>
      <c r="E519" s="4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 s="5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 s="7">
        <v>91730</v>
      </c>
      <c r="T519" s="3">
        <v>42106</v>
      </c>
      <c r="U519" s="3">
        <v>42108</v>
      </c>
      <c r="V519" s="4">
        <v>6.11</v>
      </c>
      <c r="W519">
        <v>2</v>
      </c>
      <c r="X519">
        <v>73.099999999999994</v>
      </c>
      <c r="Y519" s="7">
        <v>90492</v>
      </c>
    </row>
    <row r="520" spans="1:25" ht="12.75" customHeight="1">
      <c r="A520">
        <v>19772</v>
      </c>
      <c r="B520" t="s">
        <v>47</v>
      </c>
      <c r="C520" s="4">
        <v>0.09</v>
      </c>
      <c r="D520" s="8">
        <v>58.14</v>
      </c>
      <c r="E520" s="4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 s="5">
        <v>0.61</v>
      </c>
      <c r="O520" t="s">
        <v>33</v>
      </c>
      <c r="P520" t="s">
        <v>34</v>
      </c>
      <c r="Q520" t="s">
        <v>45</v>
      </c>
      <c r="R520" t="s">
        <v>773</v>
      </c>
      <c r="S520" s="7">
        <v>91730</v>
      </c>
      <c r="T520" s="3">
        <v>42144</v>
      </c>
      <c r="U520" s="3">
        <v>42145</v>
      </c>
      <c r="V520" s="4">
        <v>187.41200000000026</v>
      </c>
      <c r="W520">
        <v>39</v>
      </c>
      <c r="X520">
        <v>2115.06</v>
      </c>
      <c r="Y520" s="7">
        <v>90493</v>
      </c>
    </row>
    <row r="521" spans="1:25" ht="12.75" customHeight="1">
      <c r="A521">
        <v>25677</v>
      </c>
      <c r="B521" t="s">
        <v>25</v>
      </c>
      <c r="C521" s="4">
        <v>0.1</v>
      </c>
      <c r="D521" s="8">
        <v>8.34</v>
      </c>
      <c r="E521" s="4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 s="5">
        <v>0.59</v>
      </c>
      <c r="O521" t="s">
        <v>33</v>
      </c>
      <c r="P521" t="s">
        <v>34</v>
      </c>
      <c r="Q521" t="s">
        <v>45</v>
      </c>
      <c r="R521" t="s">
        <v>1037</v>
      </c>
      <c r="S521" s="7">
        <v>96003</v>
      </c>
      <c r="T521" s="3">
        <v>42106</v>
      </c>
      <c r="U521" s="3">
        <v>42106</v>
      </c>
      <c r="V521" s="4">
        <v>-6.34</v>
      </c>
      <c r="W521">
        <v>6</v>
      </c>
      <c r="X521">
        <v>47.95</v>
      </c>
      <c r="Y521" s="7">
        <v>90492</v>
      </c>
    </row>
    <row r="522" spans="1:25" ht="12.75" customHeight="1">
      <c r="A522">
        <v>21970</v>
      </c>
      <c r="B522" t="s">
        <v>106</v>
      </c>
      <c r="C522" s="4">
        <v>0.1</v>
      </c>
      <c r="D522" s="8">
        <v>15.98</v>
      </c>
      <c r="E522" s="4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 s="5">
        <v>0.37</v>
      </c>
      <c r="O522" t="s">
        <v>33</v>
      </c>
      <c r="P522" t="s">
        <v>34</v>
      </c>
      <c r="Q522" t="s">
        <v>45</v>
      </c>
      <c r="R522" t="s">
        <v>1039</v>
      </c>
      <c r="S522" s="7">
        <v>92374</v>
      </c>
      <c r="T522" s="3">
        <v>42090</v>
      </c>
      <c r="U522" s="3">
        <v>42095</v>
      </c>
      <c r="V522" s="4">
        <v>92.722199999999987</v>
      </c>
      <c r="W522">
        <v>9</v>
      </c>
      <c r="X522">
        <v>134.38</v>
      </c>
      <c r="Y522" s="7">
        <v>90491</v>
      </c>
    </row>
    <row r="523" spans="1:25" ht="12.75" customHeight="1">
      <c r="A523">
        <v>25678</v>
      </c>
      <c r="B523" t="s">
        <v>25</v>
      </c>
      <c r="C523" s="4">
        <v>0.03</v>
      </c>
      <c r="D523" s="8">
        <v>8.0399999999999991</v>
      </c>
      <c r="E523" s="4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 s="5">
        <v>0.4</v>
      </c>
      <c r="O523" t="s">
        <v>33</v>
      </c>
      <c r="P523" t="s">
        <v>34</v>
      </c>
      <c r="Q523" t="s">
        <v>45</v>
      </c>
      <c r="R523" t="s">
        <v>1039</v>
      </c>
      <c r="S523" s="7">
        <v>92374</v>
      </c>
      <c r="T523" s="3">
        <v>42106</v>
      </c>
      <c r="U523" s="3">
        <v>42108</v>
      </c>
      <c r="V523" s="4">
        <v>-160.27549999999999</v>
      </c>
      <c r="W523">
        <v>9</v>
      </c>
      <c r="X523">
        <v>76.77</v>
      </c>
      <c r="Y523" s="7">
        <v>90492</v>
      </c>
    </row>
    <row r="524" spans="1:25" ht="12.75" customHeight="1">
      <c r="A524">
        <v>18395</v>
      </c>
      <c r="B524" t="s">
        <v>37</v>
      </c>
      <c r="C524" s="4">
        <v>0.01</v>
      </c>
      <c r="D524" s="8">
        <v>65.989999999999995</v>
      </c>
      <c r="E524" s="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 s="5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 s="7">
        <v>91730</v>
      </c>
      <c r="T524" s="3">
        <v>42144</v>
      </c>
      <c r="U524" s="3">
        <v>42145</v>
      </c>
      <c r="V524" s="4">
        <v>396.97199999999998</v>
      </c>
      <c r="W524">
        <v>14</v>
      </c>
      <c r="X524">
        <v>782</v>
      </c>
      <c r="Y524" s="7">
        <v>87135</v>
      </c>
    </row>
    <row r="525" spans="1:25" ht="12.75" customHeight="1">
      <c r="A525">
        <v>19973</v>
      </c>
      <c r="B525" t="s">
        <v>47</v>
      </c>
      <c r="C525" s="4">
        <v>0.03</v>
      </c>
      <c r="D525" s="8">
        <v>2.1800000000000002</v>
      </c>
      <c r="E525" s="4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 s="5">
        <v>0.44</v>
      </c>
      <c r="O525" t="s">
        <v>33</v>
      </c>
      <c r="P525" t="s">
        <v>53</v>
      </c>
      <c r="Q525" t="s">
        <v>188</v>
      </c>
      <c r="R525" t="s">
        <v>1045</v>
      </c>
      <c r="S525" s="7">
        <v>4330</v>
      </c>
      <c r="T525" s="3">
        <v>42100</v>
      </c>
      <c r="U525" s="3">
        <v>42100</v>
      </c>
      <c r="V525" s="4">
        <v>-7.04</v>
      </c>
      <c r="W525">
        <v>7</v>
      </c>
      <c r="X525">
        <v>15.73</v>
      </c>
      <c r="Y525" s="7">
        <v>87134</v>
      </c>
    </row>
    <row r="526" spans="1:25" ht="12.75" customHeight="1">
      <c r="A526">
        <v>19974</v>
      </c>
      <c r="B526" t="s">
        <v>47</v>
      </c>
      <c r="C526" s="4">
        <v>0.01</v>
      </c>
      <c r="D526" s="8">
        <v>170.98</v>
      </c>
      <c r="E526" s="4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 s="5">
        <v>0.66</v>
      </c>
      <c r="O526" t="s">
        <v>33</v>
      </c>
      <c r="P526" t="s">
        <v>53</v>
      </c>
      <c r="Q526" t="s">
        <v>54</v>
      </c>
      <c r="R526" t="s">
        <v>1048</v>
      </c>
      <c r="S526" s="7">
        <v>8857</v>
      </c>
      <c r="T526" s="3">
        <v>42100</v>
      </c>
      <c r="U526" s="3">
        <v>42102</v>
      </c>
      <c r="V526" s="4">
        <v>538.52</v>
      </c>
      <c r="W526">
        <v>10</v>
      </c>
      <c r="X526">
        <v>1719.07</v>
      </c>
      <c r="Y526" s="7">
        <v>87134</v>
      </c>
    </row>
    <row r="527" spans="1:25" ht="12.75" customHeight="1">
      <c r="A527">
        <v>21077</v>
      </c>
      <c r="B527" t="s">
        <v>47</v>
      </c>
      <c r="C527" s="4">
        <v>0.05</v>
      </c>
      <c r="D527" s="8">
        <v>6.04</v>
      </c>
      <c r="E527" s="4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 s="5">
        <v>0.38</v>
      </c>
      <c r="O527" t="s">
        <v>33</v>
      </c>
      <c r="P527" t="s">
        <v>34</v>
      </c>
      <c r="Q527" t="s">
        <v>45</v>
      </c>
      <c r="R527" t="s">
        <v>1039</v>
      </c>
      <c r="S527" s="7">
        <v>92374</v>
      </c>
      <c r="T527" s="3">
        <v>42052</v>
      </c>
      <c r="U527" s="3">
        <v>42054</v>
      </c>
      <c r="V527" s="4">
        <v>-4.1399999999999997</v>
      </c>
      <c r="W527">
        <v>1</v>
      </c>
      <c r="X527">
        <v>8.41</v>
      </c>
      <c r="Y527" s="7">
        <v>90588</v>
      </c>
    </row>
    <row r="528" spans="1:25" ht="12.75" customHeight="1">
      <c r="A528">
        <v>23716</v>
      </c>
      <c r="B528" t="s">
        <v>37</v>
      </c>
      <c r="C528" s="4">
        <v>0.05</v>
      </c>
      <c r="D528" s="8">
        <v>5.98</v>
      </c>
      <c r="E528" s="4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 s="5">
        <v>0.36</v>
      </c>
      <c r="O528" t="s">
        <v>33</v>
      </c>
      <c r="P528" t="s">
        <v>34</v>
      </c>
      <c r="Q528" t="s">
        <v>45</v>
      </c>
      <c r="R528" t="s">
        <v>1039</v>
      </c>
      <c r="S528" s="7">
        <v>92374</v>
      </c>
      <c r="T528" s="3">
        <v>42182</v>
      </c>
      <c r="U528" s="3">
        <v>42182</v>
      </c>
      <c r="V528" s="4">
        <v>-31.885000000000002</v>
      </c>
      <c r="W528">
        <v>17</v>
      </c>
      <c r="X528">
        <v>104.95</v>
      </c>
      <c r="Y528" s="7">
        <v>90589</v>
      </c>
    </row>
    <row r="529" spans="1:25" ht="12.75" customHeight="1">
      <c r="A529">
        <v>23717</v>
      </c>
      <c r="B529" t="s">
        <v>37</v>
      </c>
      <c r="C529" s="4">
        <v>0.01</v>
      </c>
      <c r="D529" s="8">
        <v>65.989999999999995</v>
      </c>
      <c r="E529" s="4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 s="5">
        <v>0.59</v>
      </c>
      <c r="O529" t="s">
        <v>33</v>
      </c>
      <c r="P529" t="s">
        <v>34</v>
      </c>
      <c r="Q529" t="s">
        <v>45</v>
      </c>
      <c r="R529" t="s">
        <v>1054</v>
      </c>
      <c r="S529" s="7">
        <v>90278</v>
      </c>
      <c r="T529" s="3">
        <v>42182</v>
      </c>
      <c r="U529" s="3">
        <v>42183</v>
      </c>
      <c r="V529" s="4">
        <v>-95.21050000000001</v>
      </c>
      <c r="W529">
        <v>3</v>
      </c>
      <c r="X529">
        <v>166.59</v>
      </c>
      <c r="Y529" s="7">
        <v>90589</v>
      </c>
    </row>
    <row r="530" spans="1:25" ht="12.75" customHeight="1">
      <c r="A530">
        <v>22638</v>
      </c>
      <c r="B530" t="s">
        <v>106</v>
      </c>
      <c r="C530" s="4">
        <v>0.09</v>
      </c>
      <c r="D530" s="8">
        <v>100.98</v>
      </c>
      <c r="E530" s="4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 s="5">
        <v>0.62</v>
      </c>
      <c r="O530" t="s">
        <v>33</v>
      </c>
      <c r="P530" t="s">
        <v>53</v>
      </c>
      <c r="Q530" t="s">
        <v>228</v>
      </c>
      <c r="R530" t="s">
        <v>1056</v>
      </c>
      <c r="S530" s="7">
        <v>6776</v>
      </c>
      <c r="T530" s="3">
        <v>42108</v>
      </c>
      <c r="U530" s="3">
        <v>42113</v>
      </c>
      <c r="V530" s="4">
        <v>-193.58</v>
      </c>
      <c r="W530">
        <v>4</v>
      </c>
      <c r="X530">
        <v>396.19</v>
      </c>
      <c r="Y530" s="7">
        <v>90844</v>
      </c>
    </row>
    <row r="531" spans="1:25" ht="12.75" customHeight="1">
      <c r="A531">
        <v>23479</v>
      </c>
      <c r="B531" t="s">
        <v>37</v>
      </c>
      <c r="C531" s="4">
        <v>0.03</v>
      </c>
      <c r="D531" s="8">
        <v>31.74</v>
      </c>
      <c r="E531" s="4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 s="5">
        <v>0.37</v>
      </c>
      <c r="O531" t="s">
        <v>33</v>
      </c>
      <c r="P531" t="s">
        <v>34</v>
      </c>
      <c r="Q531" t="s">
        <v>45</v>
      </c>
      <c r="R531" t="s">
        <v>1059</v>
      </c>
      <c r="S531" s="7">
        <v>95070</v>
      </c>
      <c r="T531" s="3">
        <v>42069</v>
      </c>
      <c r="U531" s="3">
        <v>42069</v>
      </c>
      <c r="V531" s="4">
        <v>-4.3009999999999939</v>
      </c>
      <c r="W531">
        <v>3</v>
      </c>
      <c r="X531">
        <v>98.7</v>
      </c>
      <c r="Y531" s="7">
        <v>86567</v>
      </c>
    </row>
    <row r="532" spans="1:25" ht="12.75" customHeight="1">
      <c r="A532">
        <v>24459</v>
      </c>
      <c r="B532" t="s">
        <v>47</v>
      </c>
      <c r="C532" s="4">
        <v>0.09</v>
      </c>
      <c r="D532" s="8">
        <v>90.98</v>
      </c>
      <c r="E532" s="4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 s="5">
        <v>0.74</v>
      </c>
      <c r="O532" t="s">
        <v>33</v>
      </c>
      <c r="P532" t="s">
        <v>53</v>
      </c>
      <c r="Q532" t="s">
        <v>188</v>
      </c>
      <c r="R532" t="s">
        <v>511</v>
      </c>
      <c r="S532" s="7">
        <v>4210</v>
      </c>
      <c r="T532" s="3">
        <v>42064</v>
      </c>
      <c r="U532" s="3">
        <v>42065</v>
      </c>
      <c r="V532" s="4">
        <v>-1570.32</v>
      </c>
      <c r="W532">
        <v>20</v>
      </c>
      <c r="X532">
        <v>1782.44</v>
      </c>
      <c r="Y532" s="7">
        <v>86566</v>
      </c>
    </row>
    <row r="533" spans="1:25" ht="12.75" customHeight="1">
      <c r="A533">
        <v>24693</v>
      </c>
      <c r="B533" t="s">
        <v>47</v>
      </c>
      <c r="C533" s="4">
        <v>0.08</v>
      </c>
      <c r="D533" s="8">
        <v>14.2</v>
      </c>
      <c r="E533" s="4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 s="5">
        <v>0.46</v>
      </c>
      <c r="O533" t="s">
        <v>33</v>
      </c>
      <c r="P533" t="s">
        <v>53</v>
      </c>
      <c r="Q533" t="s">
        <v>54</v>
      </c>
      <c r="R533" t="s">
        <v>1063</v>
      </c>
      <c r="S533" s="7">
        <v>7002</v>
      </c>
      <c r="T533" s="3">
        <v>42015</v>
      </c>
      <c r="U533" s="3">
        <v>42017</v>
      </c>
      <c r="V533" s="4">
        <v>27.23</v>
      </c>
      <c r="W533">
        <v>5</v>
      </c>
      <c r="X533">
        <v>72.11</v>
      </c>
      <c r="Y533" s="7">
        <v>86565</v>
      </c>
    </row>
    <row r="534" spans="1:25" ht="12.75" customHeight="1">
      <c r="A534">
        <v>1279</v>
      </c>
      <c r="B534" t="s">
        <v>1064</v>
      </c>
      <c r="C534" s="4">
        <v>0.06</v>
      </c>
      <c r="D534" s="8">
        <v>40.98</v>
      </c>
      <c r="E534" s="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 s="5">
        <v>0.36</v>
      </c>
      <c r="O534" t="s">
        <v>33</v>
      </c>
      <c r="P534" t="s">
        <v>34</v>
      </c>
      <c r="Q534" t="s">
        <v>45</v>
      </c>
      <c r="R534" t="s">
        <v>663</v>
      </c>
      <c r="S534" s="7">
        <v>90049</v>
      </c>
      <c r="T534" s="3">
        <v>42006</v>
      </c>
      <c r="U534" s="3">
        <v>42008</v>
      </c>
      <c r="V534" s="4">
        <v>-19.099200000000003</v>
      </c>
      <c r="W534">
        <v>3</v>
      </c>
      <c r="X534">
        <v>124.81</v>
      </c>
      <c r="Y534" s="7">
        <v>9285</v>
      </c>
    </row>
    <row r="535" spans="1:25" ht="12.75" customHeight="1">
      <c r="A535">
        <v>1128</v>
      </c>
      <c r="B535" t="s">
        <v>106</v>
      </c>
      <c r="C535" s="4">
        <v>0.02</v>
      </c>
      <c r="D535" s="8">
        <v>48.04</v>
      </c>
      <c r="E535" s="4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 s="5">
        <v>0.37</v>
      </c>
      <c r="O535" t="s">
        <v>33</v>
      </c>
      <c r="P535" t="s">
        <v>34</v>
      </c>
      <c r="Q535" t="s">
        <v>45</v>
      </c>
      <c r="R535" t="s">
        <v>663</v>
      </c>
      <c r="S535" s="7">
        <v>90049</v>
      </c>
      <c r="T535" s="3">
        <v>42085</v>
      </c>
      <c r="U535" s="3">
        <v>42089</v>
      </c>
      <c r="V535" s="4">
        <v>373.67</v>
      </c>
      <c r="W535">
        <v>18</v>
      </c>
      <c r="X535">
        <v>881.32</v>
      </c>
      <c r="Y535" s="7">
        <v>8257</v>
      </c>
    </row>
    <row r="536" spans="1:25" ht="12.75" customHeight="1">
      <c r="A536">
        <v>19279</v>
      </c>
      <c r="B536" t="s">
        <v>47</v>
      </c>
      <c r="C536" s="4">
        <v>0.06</v>
      </c>
      <c r="D536" s="8">
        <v>40.98</v>
      </c>
      <c r="E536" s="4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 s="5">
        <v>0.36</v>
      </c>
      <c r="O536" t="s">
        <v>33</v>
      </c>
      <c r="P536" t="s">
        <v>61</v>
      </c>
      <c r="Q536" t="s">
        <v>62</v>
      </c>
      <c r="R536" t="s">
        <v>63</v>
      </c>
      <c r="S536" s="7">
        <v>55372</v>
      </c>
      <c r="T536" s="3">
        <v>42006</v>
      </c>
      <c r="U536" s="3">
        <v>42008</v>
      </c>
      <c r="V536" s="4">
        <v>-14.801880000000001</v>
      </c>
      <c r="W536">
        <v>1</v>
      </c>
      <c r="X536">
        <v>41.6</v>
      </c>
      <c r="Y536" s="7">
        <v>89083</v>
      </c>
    </row>
    <row r="537" spans="1:25" ht="12.75" customHeight="1">
      <c r="A537">
        <v>19127</v>
      </c>
      <c r="B537" t="s">
        <v>106</v>
      </c>
      <c r="C537" s="4">
        <v>0.05</v>
      </c>
      <c r="D537" s="8">
        <v>1500.97</v>
      </c>
      <c r="E537" s="4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 s="5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 s="7">
        <v>55372</v>
      </c>
      <c r="T537" s="3">
        <v>42085</v>
      </c>
      <c r="U537" s="3">
        <v>42085</v>
      </c>
      <c r="V537" s="4">
        <v>-2561.3235</v>
      </c>
      <c r="W537">
        <v>1</v>
      </c>
      <c r="X537">
        <v>1497.22</v>
      </c>
      <c r="Y537" s="7">
        <v>89084</v>
      </c>
    </row>
    <row r="538" spans="1:25" ht="12.75" customHeight="1">
      <c r="A538">
        <v>19128</v>
      </c>
      <c r="B538" t="s">
        <v>106</v>
      </c>
      <c r="C538" s="4">
        <v>0.02</v>
      </c>
      <c r="D538" s="8">
        <v>48.04</v>
      </c>
      <c r="E538" s="4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 s="5">
        <v>0.37</v>
      </c>
      <c r="O538" t="s">
        <v>33</v>
      </c>
      <c r="P538" t="s">
        <v>61</v>
      </c>
      <c r="Q538" t="s">
        <v>62</v>
      </c>
      <c r="R538" t="s">
        <v>63</v>
      </c>
      <c r="S538" s="7">
        <v>55372</v>
      </c>
      <c r="T538" s="3">
        <v>42085</v>
      </c>
      <c r="U538" s="3">
        <v>42089</v>
      </c>
      <c r="V538" s="4">
        <v>168.91889999999998</v>
      </c>
      <c r="W538">
        <v>5</v>
      </c>
      <c r="X538">
        <v>244.81</v>
      </c>
      <c r="Y538" s="7">
        <v>89084</v>
      </c>
    </row>
    <row r="539" spans="1:25" ht="12.75" customHeight="1">
      <c r="A539">
        <v>19129</v>
      </c>
      <c r="B539" t="s">
        <v>106</v>
      </c>
      <c r="C539" s="4">
        <v>0.03</v>
      </c>
      <c r="D539" s="8">
        <v>4.28</v>
      </c>
      <c r="E539" s="4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 s="5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 s="7">
        <v>55372</v>
      </c>
      <c r="T539" s="3">
        <v>42085</v>
      </c>
      <c r="U539" s="3">
        <v>42092</v>
      </c>
      <c r="V539" s="4">
        <v>-6.2</v>
      </c>
      <c r="W539">
        <v>1</v>
      </c>
      <c r="X539">
        <v>4.55</v>
      </c>
      <c r="Y539" s="7">
        <v>89084</v>
      </c>
    </row>
    <row r="540" spans="1:25" ht="12.75" customHeight="1">
      <c r="A540">
        <v>20073</v>
      </c>
      <c r="B540" t="s">
        <v>106</v>
      </c>
      <c r="C540" s="4">
        <v>0.1</v>
      </c>
      <c r="D540" s="8">
        <v>7.31</v>
      </c>
      <c r="E540" s="4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 s="5">
        <v>0.38</v>
      </c>
      <c r="O540" t="s">
        <v>33</v>
      </c>
      <c r="P540" t="s">
        <v>61</v>
      </c>
      <c r="Q540" t="s">
        <v>130</v>
      </c>
      <c r="R540" t="s">
        <v>1072</v>
      </c>
      <c r="S540" s="7">
        <v>75067</v>
      </c>
      <c r="T540" s="3">
        <v>42047</v>
      </c>
      <c r="U540" s="3">
        <v>42056</v>
      </c>
      <c r="V540" s="4">
        <v>19.064699999999998</v>
      </c>
      <c r="W540">
        <v>4</v>
      </c>
      <c r="X540">
        <v>27.63</v>
      </c>
      <c r="Y540" s="7">
        <v>90771</v>
      </c>
    </row>
    <row r="541" spans="1:25" ht="12.75" customHeight="1">
      <c r="A541">
        <v>20074</v>
      </c>
      <c r="B541" t="s">
        <v>106</v>
      </c>
      <c r="C541" s="4">
        <v>0.08</v>
      </c>
      <c r="D541" s="8">
        <v>6.7</v>
      </c>
      <c r="E541" s="4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 s="5">
        <v>0.52</v>
      </c>
      <c r="O541" t="s">
        <v>33</v>
      </c>
      <c r="P541" t="s">
        <v>61</v>
      </c>
      <c r="Q541" t="s">
        <v>130</v>
      </c>
      <c r="R541" t="s">
        <v>1072</v>
      </c>
      <c r="S541" s="7">
        <v>75067</v>
      </c>
      <c r="T541" s="3">
        <v>42047</v>
      </c>
      <c r="U541" s="3">
        <v>42047</v>
      </c>
      <c r="V541" s="4">
        <v>10.56</v>
      </c>
      <c r="W541">
        <v>5</v>
      </c>
      <c r="X541">
        <v>31.21</v>
      </c>
      <c r="Y541" s="7">
        <v>90771</v>
      </c>
    </row>
    <row r="542" spans="1:25" ht="12.75" customHeight="1">
      <c r="A542">
        <v>25795</v>
      </c>
      <c r="B542" t="s">
        <v>37</v>
      </c>
      <c r="C542" s="4">
        <v>0.01</v>
      </c>
      <c r="D542" s="8">
        <v>145.44999999999999</v>
      </c>
      <c r="E542" s="4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 s="5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 s="7">
        <v>76028</v>
      </c>
      <c r="T542" s="3">
        <v>42085</v>
      </c>
      <c r="U542" s="3">
        <v>42086</v>
      </c>
      <c r="V542" s="4">
        <v>837.68069999999989</v>
      </c>
      <c r="W542">
        <v>8</v>
      </c>
      <c r="X542">
        <v>1214.03</v>
      </c>
      <c r="Y542" s="7">
        <v>91581</v>
      </c>
    </row>
    <row r="543" spans="1:25" ht="12.75" customHeight="1">
      <c r="A543">
        <v>20428</v>
      </c>
      <c r="B543" t="s">
        <v>106</v>
      </c>
      <c r="C543" s="4">
        <v>0.03</v>
      </c>
      <c r="D543" s="8">
        <v>2.94</v>
      </c>
      <c r="E543" s="4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 s="5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 s="7">
        <v>90278</v>
      </c>
      <c r="T543" s="3">
        <v>42039</v>
      </c>
      <c r="U543" s="3">
        <v>42043</v>
      </c>
      <c r="V543" s="4">
        <v>-4.2</v>
      </c>
      <c r="W543">
        <v>1</v>
      </c>
      <c r="X543">
        <v>3.51</v>
      </c>
      <c r="Y543" s="7">
        <v>89401</v>
      </c>
    </row>
    <row r="544" spans="1:25" ht="12.75" customHeight="1">
      <c r="A544">
        <v>20685</v>
      </c>
      <c r="B544" t="s">
        <v>37</v>
      </c>
      <c r="C544" s="4">
        <v>0.05</v>
      </c>
      <c r="D544" s="8">
        <v>124.49</v>
      </c>
      <c r="E544" s="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 s="5">
        <v>0.63</v>
      </c>
      <c r="O544" t="s">
        <v>33</v>
      </c>
      <c r="P544" t="s">
        <v>34</v>
      </c>
      <c r="Q544" t="s">
        <v>45</v>
      </c>
      <c r="R544" t="s">
        <v>1078</v>
      </c>
      <c r="S544" s="7">
        <v>94061</v>
      </c>
      <c r="T544" s="3">
        <v>42059</v>
      </c>
      <c r="U544" s="3">
        <v>42059</v>
      </c>
      <c r="V544" s="4">
        <v>-44.163600000000002</v>
      </c>
      <c r="W544">
        <v>1</v>
      </c>
      <c r="X544">
        <v>120.12</v>
      </c>
      <c r="Y544" s="7">
        <v>89402</v>
      </c>
    </row>
    <row r="545" spans="1:25" ht="12.75" customHeight="1">
      <c r="A545">
        <v>2428</v>
      </c>
      <c r="B545" t="s">
        <v>106</v>
      </c>
      <c r="C545" s="4">
        <v>0.03</v>
      </c>
      <c r="D545" s="8">
        <v>2.94</v>
      </c>
      <c r="E545" s="4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 s="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 s="7">
        <v>60610</v>
      </c>
      <c r="T545" s="3">
        <v>42039</v>
      </c>
      <c r="U545" s="3">
        <v>42043</v>
      </c>
      <c r="V545" s="4">
        <v>-4.2</v>
      </c>
      <c r="W545">
        <v>2</v>
      </c>
      <c r="X545">
        <v>7.01</v>
      </c>
      <c r="Y545" s="7">
        <v>17636</v>
      </c>
    </row>
    <row r="546" spans="1:25" ht="12.75" customHeight="1">
      <c r="A546">
        <v>25093</v>
      </c>
      <c r="B546" t="s">
        <v>56</v>
      </c>
      <c r="C546" s="4">
        <v>0</v>
      </c>
      <c r="D546" s="8">
        <v>170.98</v>
      </c>
      <c r="E546" s="4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 s="5">
        <v>0.66</v>
      </c>
      <c r="O546" t="s">
        <v>33</v>
      </c>
      <c r="P546" t="s">
        <v>136</v>
      </c>
      <c r="Q546" t="s">
        <v>137</v>
      </c>
      <c r="R546" t="s">
        <v>799</v>
      </c>
      <c r="S546" s="7">
        <v>24281</v>
      </c>
      <c r="T546" s="3">
        <v>42114</v>
      </c>
      <c r="U546" s="3">
        <v>42115</v>
      </c>
      <c r="V546" s="4">
        <v>-102.66200000000001</v>
      </c>
      <c r="W546">
        <v>8</v>
      </c>
      <c r="X546">
        <v>1452.18</v>
      </c>
      <c r="Y546" s="7">
        <v>86173</v>
      </c>
    </row>
    <row r="547" spans="1:25" ht="12.75" customHeight="1">
      <c r="A547">
        <v>20536</v>
      </c>
      <c r="B547" t="s">
        <v>106</v>
      </c>
      <c r="C547" s="4">
        <v>0.03</v>
      </c>
      <c r="D547" s="8">
        <v>284.98</v>
      </c>
      <c r="E547" s="4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 s="5">
        <v>0.6</v>
      </c>
      <c r="O547" t="s">
        <v>33</v>
      </c>
      <c r="P547" t="s">
        <v>34</v>
      </c>
      <c r="Q547" t="s">
        <v>45</v>
      </c>
      <c r="R547" t="s">
        <v>1083</v>
      </c>
      <c r="S547" s="7">
        <v>92503</v>
      </c>
      <c r="T547" s="3">
        <v>42063</v>
      </c>
      <c r="U547" s="3">
        <v>42068</v>
      </c>
      <c r="V547" s="4">
        <v>-116.584</v>
      </c>
      <c r="W547">
        <v>2</v>
      </c>
      <c r="X547">
        <v>619.38</v>
      </c>
      <c r="Y547" s="7">
        <v>87259</v>
      </c>
    </row>
    <row r="548" spans="1:25" ht="12.75" customHeight="1">
      <c r="A548">
        <v>20537</v>
      </c>
      <c r="B548" t="s">
        <v>106</v>
      </c>
      <c r="C548" s="4">
        <v>0</v>
      </c>
      <c r="D548" s="8">
        <v>12.99</v>
      </c>
      <c r="E548" s="4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 s="5">
        <v>0.73</v>
      </c>
      <c r="O548" t="s">
        <v>33</v>
      </c>
      <c r="P548" t="s">
        <v>34</v>
      </c>
      <c r="Q548" t="s">
        <v>45</v>
      </c>
      <c r="R548" t="s">
        <v>1083</v>
      </c>
      <c r="S548" s="7">
        <v>92503</v>
      </c>
      <c r="T548" s="3">
        <v>42063</v>
      </c>
      <c r="U548" s="3">
        <v>42063</v>
      </c>
      <c r="V548" s="4">
        <v>12.896100000000001</v>
      </c>
      <c r="W548">
        <v>1</v>
      </c>
      <c r="X548">
        <v>18.690000000000001</v>
      </c>
      <c r="Y548" s="7">
        <v>87259</v>
      </c>
    </row>
    <row r="549" spans="1:25" ht="12.75" customHeight="1">
      <c r="A549">
        <v>24298</v>
      </c>
      <c r="B549" t="s">
        <v>106</v>
      </c>
      <c r="C549" s="4">
        <v>0.1</v>
      </c>
      <c r="D549" s="8">
        <v>2.2200000000000002</v>
      </c>
      <c r="E549" s="4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 s="5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 s="7">
        <v>2108</v>
      </c>
      <c r="T549" s="3">
        <v>42098</v>
      </c>
      <c r="U549" s="3">
        <v>42103</v>
      </c>
      <c r="V549" s="4">
        <v>-21.319199999999999</v>
      </c>
      <c r="W549">
        <v>3</v>
      </c>
      <c r="X549">
        <v>8.8000000000000007</v>
      </c>
      <c r="Y549" s="7">
        <v>87260</v>
      </c>
    </row>
    <row r="550" spans="1:25" ht="12.75" customHeight="1">
      <c r="A550">
        <v>22646</v>
      </c>
      <c r="B550" t="s">
        <v>56</v>
      </c>
      <c r="C550" s="4">
        <v>0</v>
      </c>
      <c r="D550" s="8">
        <v>37.76</v>
      </c>
      <c r="E550" s="4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 s="5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 s="7">
        <v>5403</v>
      </c>
      <c r="T550" s="3">
        <v>42040</v>
      </c>
      <c r="U550" s="3">
        <v>42041</v>
      </c>
      <c r="V550" s="4">
        <v>93.846800000000002</v>
      </c>
      <c r="W550">
        <v>12</v>
      </c>
      <c r="X550">
        <v>477.2</v>
      </c>
      <c r="Y550" s="7">
        <v>87258</v>
      </c>
    </row>
    <row r="551" spans="1:25" ht="12.75" customHeight="1">
      <c r="A551">
        <v>20010</v>
      </c>
      <c r="B551" t="s">
        <v>106</v>
      </c>
      <c r="C551" s="4">
        <v>0.09</v>
      </c>
      <c r="D551" s="8">
        <v>300.97000000000003</v>
      </c>
      <c r="E551" s="4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 s="5">
        <v>0.48</v>
      </c>
      <c r="O551" t="s">
        <v>33</v>
      </c>
      <c r="P551" t="s">
        <v>136</v>
      </c>
      <c r="Q551" t="s">
        <v>958</v>
      </c>
      <c r="R551" t="s">
        <v>1090</v>
      </c>
      <c r="S551" s="7">
        <v>72143</v>
      </c>
      <c r="T551" s="3">
        <v>42121</v>
      </c>
      <c r="U551" s="3">
        <v>42121</v>
      </c>
      <c r="V551" s="4">
        <v>17.771999999999998</v>
      </c>
      <c r="W551">
        <v>10</v>
      </c>
      <c r="X551">
        <v>2848.38</v>
      </c>
      <c r="Y551" s="7">
        <v>90201</v>
      </c>
    </row>
    <row r="552" spans="1:25" ht="12.75" customHeight="1">
      <c r="A552">
        <v>25895</v>
      </c>
      <c r="B552" t="s">
        <v>25</v>
      </c>
      <c r="C552" s="4">
        <v>0.05</v>
      </c>
      <c r="D552" s="8">
        <v>4.28</v>
      </c>
      <c r="E552" s="4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 s="5">
        <v>0.4</v>
      </c>
      <c r="O552" t="s">
        <v>33</v>
      </c>
      <c r="P552" t="s">
        <v>34</v>
      </c>
      <c r="Q552" t="s">
        <v>45</v>
      </c>
      <c r="R552" t="s">
        <v>1092</v>
      </c>
      <c r="S552" s="7">
        <v>93030</v>
      </c>
      <c r="T552" s="3">
        <v>42054</v>
      </c>
      <c r="U552" s="3">
        <v>42054</v>
      </c>
      <c r="V552" s="4">
        <v>-104.57</v>
      </c>
      <c r="W552">
        <v>9</v>
      </c>
      <c r="X552">
        <v>38.58</v>
      </c>
      <c r="Y552" s="7">
        <v>89432</v>
      </c>
    </row>
    <row r="553" spans="1:25" ht="12.75" customHeight="1">
      <c r="A553">
        <v>19004</v>
      </c>
      <c r="B553" t="s">
        <v>25</v>
      </c>
      <c r="C553" s="4">
        <v>0.1</v>
      </c>
      <c r="D553" s="8">
        <v>400.98</v>
      </c>
      <c r="E553" s="4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 s="5">
        <v>0.6</v>
      </c>
      <c r="O553" t="s">
        <v>33</v>
      </c>
      <c r="P553" t="s">
        <v>53</v>
      </c>
      <c r="Q553" t="s">
        <v>188</v>
      </c>
      <c r="R553" t="s">
        <v>433</v>
      </c>
      <c r="S553" s="7">
        <v>4073</v>
      </c>
      <c r="T553" s="3">
        <v>42077</v>
      </c>
      <c r="U553" s="3">
        <v>42078</v>
      </c>
      <c r="V553" s="4">
        <v>-969.0483660000001</v>
      </c>
      <c r="W553">
        <v>2</v>
      </c>
      <c r="X553">
        <v>810.47</v>
      </c>
      <c r="Y553" s="7">
        <v>89433</v>
      </c>
    </row>
    <row r="554" spans="1:25" ht="12.75" customHeight="1">
      <c r="A554">
        <v>23840</v>
      </c>
      <c r="B554" t="s">
        <v>106</v>
      </c>
      <c r="C554" s="4">
        <v>0.09</v>
      </c>
      <c r="D554" s="8">
        <v>7.64</v>
      </c>
      <c r="E554" s="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 s="5">
        <v>0.36</v>
      </c>
      <c r="O554" t="s">
        <v>33</v>
      </c>
      <c r="P554" t="s">
        <v>53</v>
      </c>
      <c r="Q554" t="s">
        <v>188</v>
      </c>
      <c r="R554" t="s">
        <v>1096</v>
      </c>
      <c r="S554" s="7">
        <v>4070</v>
      </c>
      <c r="T554" s="3">
        <v>42134</v>
      </c>
      <c r="U554" s="3">
        <v>42139</v>
      </c>
      <c r="V554" s="4">
        <v>4.0320000000000036</v>
      </c>
      <c r="W554">
        <v>9</v>
      </c>
      <c r="X554">
        <v>72.83</v>
      </c>
      <c r="Y554" s="7">
        <v>89434</v>
      </c>
    </row>
    <row r="555" spans="1:25" ht="12.75" customHeight="1">
      <c r="A555">
        <v>22639</v>
      </c>
      <c r="B555" t="s">
        <v>106</v>
      </c>
      <c r="C555" s="4">
        <v>0.08</v>
      </c>
      <c r="D555" s="8">
        <v>67.84</v>
      </c>
      <c r="E555" s="4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 s="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 s="7">
        <v>7002</v>
      </c>
      <c r="T555" s="3">
        <v>42028</v>
      </c>
      <c r="U555" s="3">
        <v>42033</v>
      </c>
      <c r="V555" s="4">
        <v>-23.634399999999999</v>
      </c>
      <c r="W555">
        <v>1</v>
      </c>
      <c r="X555">
        <v>63.66</v>
      </c>
      <c r="Y555" s="7">
        <v>89431</v>
      </c>
    </row>
    <row r="556" spans="1:25" ht="12.75" customHeight="1">
      <c r="A556">
        <v>19003</v>
      </c>
      <c r="B556" t="s">
        <v>25</v>
      </c>
      <c r="C556" s="4">
        <v>0.08</v>
      </c>
      <c r="D556" s="8">
        <v>45.19</v>
      </c>
      <c r="E556" s="4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 s="5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 s="7">
        <v>7450</v>
      </c>
      <c r="T556" s="3">
        <v>42077</v>
      </c>
      <c r="U556" s="3">
        <v>42078</v>
      </c>
      <c r="V556" s="4">
        <v>-71.83</v>
      </c>
      <c r="W556">
        <v>3</v>
      </c>
      <c r="X556">
        <v>127.22</v>
      </c>
      <c r="Y556" s="7">
        <v>89433</v>
      </c>
    </row>
    <row r="557" spans="1:25" ht="12.75" customHeight="1">
      <c r="A557">
        <v>19002</v>
      </c>
      <c r="B557" t="s">
        <v>25</v>
      </c>
      <c r="C557" s="4">
        <v>0.03</v>
      </c>
      <c r="D557" s="8">
        <v>33.979999999999997</v>
      </c>
      <c r="E557" s="4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 s="5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 s="7">
        <v>5201</v>
      </c>
      <c r="T557" s="3">
        <v>42077</v>
      </c>
      <c r="U557" s="3">
        <v>42078</v>
      </c>
      <c r="V557" s="4">
        <v>-0.74000000000000909</v>
      </c>
      <c r="W557">
        <v>12</v>
      </c>
      <c r="X557">
        <v>432.44</v>
      </c>
      <c r="Y557" s="7">
        <v>89433</v>
      </c>
    </row>
    <row r="558" spans="1:25" ht="12.75" customHeight="1">
      <c r="A558">
        <v>19380</v>
      </c>
      <c r="B558" t="s">
        <v>106</v>
      </c>
      <c r="C558" s="4">
        <v>0.06</v>
      </c>
      <c r="D558" s="8">
        <v>10.14</v>
      </c>
      <c r="E558" s="4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 s="5">
        <v>0.36</v>
      </c>
      <c r="O558" t="s">
        <v>33</v>
      </c>
      <c r="P558" t="s">
        <v>61</v>
      </c>
      <c r="Q558" t="s">
        <v>178</v>
      </c>
      <c r="R558" t="s">
        <v>766</v>
      </c>
      <c r="S558" s="7">
        <v>60089</v>
      </c>
      <c r="T558" s="3">
        <v>42067</v>
      </c>
      <c r="U558" s="3">
        <v>42067</v>
      </c>
      <c r="V558" s="4">
        <v>-3.88</v>
      </c>
      <c r="W558">
        <v>1</v>
      </c>
      <c r="X558">
        <v>12.18</v>
      </c>
      <c r="Y558" s="7">
        <v>90043</v>
      </c>
    </row>
    <row r="559" spans="1:25" ht="12.75" customHeight="1">
      <c r="A559">
        <v>20167</v>
      </c>
      <c r="B559" t="s">
        <v>25</v>
      </c>
      <c r="C559" s="4">
        <v>0.02</v>
      </c>
      <c r="D559" s="8">
        <v>40.99</v>
      </c>
      <c r="E559" s="4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 s="5">
        <v>0.36</v>
      </c>
      <c r="O559" t="s">
        <v>33</v>
      </c>
      <c r="P559" t="s">
        <v>61</v>
      </c>
      <c r="Q559" t="s">
        <v>178</v>
      </c>
      <c r="R559" t="s">
        <v>766</v>
      </c>
      <c r="S559" s="7">
        <v>60089</v>
      </c>
      <c r="T559" s="3">
        <v>42062</v>
      </c>
      <c r="U559" s="3">
        <v>42063</v>
      </c>
      <c r="V559" s="4">
        <v>551.09280000000001</v>
      </c>
      <c r="W559">
        <v>23</v>
      </c>
      <c r="X559">
        <v>950.43</v>
      </c>
      <c r="Y559" s="7">
        <v>90044</v>
      </c>
    </row>
    <row r="560" spans="1:25" ht="12.75" customHeight="1">
      <c r="A560">
        <v>18529</v>
      </c>
      <c r="B560" t="s">
        <v>25</v>
      </c>
      <c r="C560" s="4">
        <v>0.01</v>
      </c>
      <c r="D560" s="8">
        <v>3.15</v>
      </c>
      <c r="E560" s="4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 s="5">
        <v>0.37</v>
      </c>
      <c r="O560" t="s">
        <v>33</v>
      </c>
      <c r="P560" t="s">
        <v>53</v>
      </c>
      <c r="Q560" t="s">
        <v>188</v>
      </c>
      <c r="R560" t="s">
        <v>1109</v>
      </c>
      <c r="S560" s="7">
        <v>4038</v>
      </c>
      <c r="T560" s="3">
        <v>42149</v>
      </c>
      <c r="U560" s="3">
        <v>42151</v>
      </c>
      <c r="V560" s="4">
        <v>17.505299999999998</v>
      </c>
      <c r="W560">
        <v>8</v>
      </c>
      <c r="X560">
        <v>25.37</v>
      </c>
      <c r="Y560" s="7">
        <v>88371</v>
      </c>
    </row>
    <row r="561" spans="1:25" ht="12.75" customHeight="1">
      <c r="A561">
        <v>18886</v>
      </c>
      <c r="B561" t="s">
        <v>25</v>
      </c>
      <c r="C561" s="4">
        <v>0.1</v>
      </c>
      <c r="D561" s="8">
        <v>550.98</v>
      </c>
      <c r="E561" s="4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 s="5">
        <v>0.71</v>
      </c>
      <c r="O561" t="s">
        <v>33</v>
      </c>
      <c r="P561" t="s">
        <v>53</v>
      </c>
      <c r="Q561" t="s">
        <v>188</v>
      </c>
      <c r="R561" t="s">
        <v>1112</v>
      </c>
      <c r="S561" s="7">
        <v>4072</v>
      </c>
      <c r="T561" s="3">
        <v>42174</v>
      </c>
      <c r="U561" s="3">
        <v>42176</v>
      </c>
      <c r="V561" s="4">
        <v>818.54617499999995</v>
      </c>
      <c r="W561">
        <v>14</v>
      </c>
      <c r="X561">
        <v>6963.67</v>
      </c>
      <c r="Y561" s="7">
        <v>88372</v>
      </c>
    </row>
    <row r="562" spans="1:25" ht="12.75" customHeight="1">
      <c r="A562">
        <v>21184</v>
      </c>
      <c r="B562" t="s">
        <v>47</v>
      </c>
      <c r="C562" s="4">
        <v>0.09</v>
      </c>
      <c r="D562" s="8">
        <v>28.48</v>
      </c>
      <c r="E562" s="4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 s="5">
        <v>0.4</v>
      </c>
      <c r="O562" t="s">
        <v>33</v>
      </c>
      <c r="P562" t="s">
        <v>136</v>
      </c>
      <c r="Q562" t="s">
        <v>958</v>
      </c>
      <c r="R562" t="s">
        <v>1114</v>
      </c>
      <c r="S562" s="7">
        <v>72022</v>
      </c>
      <c r="T562" s="3">
        <v>42064</v>
      </c>
      <c r="U562" s="3">
        <v>42065</v>
      </c>
      <c r="V562" s="4">
        <v>-17.149999999999999</v>
      </c>
      <c r="W562">
        <v>6</v>
      </c>
      <c r="X562">
        <v>160.16999999999999</v>
      </c>
      <c r="Y562" s="7">
        <v>88387</v>
      </c>
    </row>
    <row r="563" spans="1:25" ht="12.75" customHeight="1">
      <c r="A563">
        <v>21185</v>
      </c>
      <c r="B563" t="s">
        <v>47</v>
      </c>
      <c r="C563" s="4">
        <v>0</v>
      </c>
      <c r="D563" s="8">
        <v>2.08</v>
      </c>
      <c r="E563" s="4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 s="5">
        <v>0.43</v>
      </c>
      <c r="O563" t="s">
        <v>33</v>
      </c>
      <c r="P563" t="s">
        <v>136</v>
      </c>
      <c r="Q563" t="s">
        <v>958</v>
      </c>
      <c r="R563" t="s">
        <v>1114</v>
      </c>
      <c r="S563" s="7">
        <v>72022</v>
      </c>
      <c r="T563" s="3">
        <v>42064</v>
      </c>
      <c r="U563" s="3">
        <v>42066</v>
      </c>
      <c r="V563" s="4">
        <v>-29.540000000000003</v>
      </c>
      <c r="W563">
        <v>3</v>
      </c>
      <c r="X563">
        <v>7.47</v>
      </c>
      <c r="Y563" s="7">
        <v>88387</v>
      </c>
    </row>
    <row r="564" spans="1:25" ht="12.75" customHeight="1">
      <c r="A564">
        <v>21186</v>
      </c>
      <c r="B564" t="s">
        <v>47</v>
      </c>
      <c r="C564" s="4">
        <v>0.06</v>
      </c>
      <c r="D564" s="8">
        <v>45.99</v>
      </c>
      <c r="E564" s="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 s="5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 s="7">
        <v>72022</v>
      </c>
      <c r="T564" s="3">
        <v>42064</v>
      </c>
      <c r="U564" s="3">
        <v>42065</v>
      </c>
      <c r="V564" s="4">
        <v>-329.78399999999999</v>
      </c>
      <c r="W564">
        <v>10</v>
      </c>
      <c r="X564">
        <v>370.81</v>
      </c>
      <c r="Y564" s="7">
        <v>88387</v>
      </c>
    </row>
    <row r="565" spans="1:25" ht="12.75" customHeight="1">
      <c r="A565">
        <v>20880</v>
      </c>
      <c r="B565" t="s">
        <v>37</v>
      </c>
      <c r="C565" s="4">
        <v>0.08</v>
      </c>
      <c r="D565" s="8">
        <v>10.91</v>
      </c>
      <c r="E565" s="4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 s="5">
        <v>0.38</v>
      </c>
      <c r="O565" t="s">
        <v>33</v>
      </c>
      <c r="P565" t="s">
        <v>136</v>
      </c>
      <c r="Q565" t="s">
        <v>958</v>
      </c>
      <c r="R565" t="s">
        <v>1114</v>
      </c>
      <c r="S565" s="7">
        <v>72022</v>
      </c>
      <c r="T565" s="3">
        <v>42068</v>
      </c>
      <c r="U565" s="3">
        <v>42069</v>
      </c>
      <c r="V565" s="4">
        <v>-2.1</v>
      </c>
      <c r="W565">
        <v>11</v>
      </c>
      <c r="X565">
        <v>119.99</v>
      </c>
      <c r="Y565" s="7">
        <v>88388</v>
      </c>
    </row>
    <row r="566" spans="1:25" ht="12.75" customHeight="1">
      <c r="A566">
        <v>20531</v>
      </c>
      <c r="B566" t="s">
        <v>56</v>
      </c>
      <c r="C566" s="4">
        <v>0</v>
      </c>
      <c r="D566" s="8">
        <v>43.98</v>
      </c>
      <c r="E566" s="4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 s="5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 s="7">
        <v>27502</v>
      </c>
      <c r="T566" s="3">
        <v>42081</v>
      </c>
      <c r="U566" s="3">
        <v>42081</v>
      </c>
      <c r="V566" s="4">
        <v>829.46699999999998</v>
      </c>
      <c r="W566">
        <v>14</v>
      </c>
      <c r="X566">
        <v>650.70000000000005</v>
      </c>
      <c r="Y566" s="7">
        <v>88390</v>
      </c>
    </row>
    <row r="567" spans="1:25" ht="12.75" customHeight="1">
      <c r="A567">
        <v>24752</v>
      </c>
      <c r="B567" t="s">
        <v>25</v>
      </c>
      <c r="C567" s="4">
        <v>0.02</v>
      </c>
      <c r="D567" s="8">
        <v>6.48</v>
      </c>
      <c r="E567" s="4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 s="5">
        <v>0.37</v>
      </c>
      <c r="O567" t="s">
        <v>33</v>
      </c>
      <c r="P567" t="s">
        <v>136</v>
      </c>
      <c r="Q567" t="s">
        <v>322</v>
      </c>
      <c r="R567" t="s">
        <v>1122</v>
      </c>
      <c r="S567" s="7">
        <v>28806</v>
      </c>
      <c r="T567" s="3">
        <v>42167</v>
      </c>
      <c r="U567" s="3">
        <v>42168</v>
      </c>
      <c r="V567" s="4">
        <v>111.22199999999999</v>
      </c>
      <c r="W567">
        <v>1</v>
      </c>
      <c r="X567">
        <v>11.41</v>
      </c>
      <c r="Y567" s="7">
        <v>88389</v>
      </c>
    </row>
    <row r="568" spans="1:25" ht="12.75" customHeight="1">
      <c r="A568">
        <v>25027</v>
      </c>
      <c r="B568" t="s">
        <v>56</v>
      </c>
      <c r="C568" s="4">
        <v>0.05</v>
      </c>
      <c r="D568" s="8">
        <v>35.89</v>
      </c>
      <c r="E568" s="4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 s="5">
        <v>0.4</v>
      </c>
      <c r="O568" t="s">
        <v>33</v>
      </c>
      <c r="P568" t="s">
        <v>136</v>
      </c>
      <c r="Q568" t="s">
        <v>322</v>
      </c>
      <c r="R568" t="s">
        <v>1125</v>
      </c>
      <c r="S568" s="7">
        <v>27511</v>
      </c>
      <c r="T568" s="3">
        <v>42102</v>
      </c>
      <c r="U568" s="3">
        <v>42103</v>
      </c>
      <c r="V568" s="4">
        <v>22.866</v>
      </c>
      <c r="W568">
        <v>19</v>
      </c>
      <c r="X568">
        <v>680.39</v>
      </c>
      <c r="Y568" s="7">
        <v>88391</v>
      </c>
    </row>
    <row r="569" spans="1:25" ht="12.75" customHeight="1">
      <c r="A569">
        <v>25028</v>
      </c>
      <c r="B569" t="s">
        <v>56</v>
      </c>
      <c r="C569" s="4">
        <v>0</v>
      </c>
      <c r="D569" s="8">
        <v>11.48</v>
      </c>
      <c r="E569" s="4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 s="5">
        <v>0.36</v>
      </c>
      <c r="O569" t="s">
        <v>33</v>
      </c>
      <c r="P569" t="s">
        <v>136</v>
      </c>
      <c r="Q569" t="s">
        <v>322</v>
      </c>
      <c r="R569" t="s">
        <v>1125</v>
      </c>
      <c r="S569" s="7">
        <v>27511</v>
      </c>
      <c r="T569" s="3">
        <v>42102</v>
      </c>
      <c r="U569" s="3">
        <v>42102</v>
      </c>
      <c r="V569" s="4">
        <v>115.72799999999999</v>
      </c>
      <c r="W569">
        <v>6</v>
      </c>
      <c r="X569">
        <v>75.52</v>
      </c>
      <c r="Y569" s="7">
        <v>88391</v>
      </c>
    </row>
    <row r="570" spans="1:25" ht="12.75" customHeight="1">
      <c r="A570">
        <v>24926</v>
      </c>
      <c r="B570" t="s">
        <v>47</v>
      </c>
      <c r="C570" s="4">
        <v>0.09</v>
      </c>
      <c r="D570" s="8">
        <v>517.48</v>
      </c>
      <c r="E570" s="4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 s="5">
        <v>0.59</v>
      </c>
      <c r="O570" t="s">
        <v>33</v>
      </c>
      <c r="P570" t="s">
        <v>61</v>
      </c>
      <c r="Q570" t="s">
        <v>183</v>
      </c>
      <c r="R570" t="s">
        <v>1129</v>
      </c>
      <c r="S570" s="7">
        <v>66762</v>
      </c>
      <c r="T570" s="3">
        <v>42070</v>
      </c>
      <c r="U570" s="3">
        <v>42070</v>
      </c>
      <c r="V570" s="4">
        <v>909.36</v>
      </c>
      <c r="W570">
        <v>5</v>
      </c>
      <c r="X570">
        <v>2354.54</v>
      </c>
      <c r="Y570" s="7">
        <v>88632</v>
      </c>
    </row>
    <row r="571" spans="1:25" ht="12.75" customHeight="1">
      <c r="A571">
        <v>23562</v>
      </c>
      <c r="B571" t="s">
        <v>47</v>
      </c>
      <c r="C571" s="4">
        <v>7.0000000000000007E-2</v>
      </c>
      <c r="D571" s="8">
        <v>4.13</v>
      </c>
      <c r="E571" s="4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 s="5">
        <v>0.38</v>
      </c>
      <c r="O571" t="s">
        <v>33</v>
      </c>
      <c r="P571" t="s">
        <v>61</v>
      </c>
      <c r="Q571" t="s">
        <v>183</v>
      </c>
      <c r="R571" t="s">
        <v>1129</v>
      </c>
      <c r="S571" s="7">
        <v>66762</v>
      </c>
      <c r="T571" s="3">
        <v>42041</v>
      </c>
      <c r="U571" s="3">
        <v>42042</v>
      </c>
      <c r="V571" s="4">
        <v>-76.424400000000006</v>
      </c>
      <c r="W571">
        <v>20</v>
      </c>
      <c r="X571">
        <v>79.06</v>
      </c>
      <c r="Y571" s="7">
        <v>88634</v>
      </c>
    </row>
    <row r="572" spans="1:25" ht="12.75" customHeight="1">
      <c r="A572">
        <v>23563</v>
      </c>
      <c r="B572" t="s">
        <v>47</v>
      </c>
      <c r="C572" s="4">
        <v>0</v>
      </c>
      <c r="D572" s="8">
        <v>4.4800000000000004</v>
      </c>
      <c r="E572" s="4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 s="5">
        <v>0.37</v>
      </c>
      <c r="O572" t="s">
        <v>33</v>
      </c>
      <c r="P572" t="s">
        <v>61</v>
      </c>
      <c r="Q572" t="s">
        <v>183</v>
      </c>
      <c r="R572" t="s">
        <v>1129</v>
      </c>
      <c r="S572" s="7">
        <v>66762</v>
      </c>
      <c r="T572" s="3">
        <v>42041</v>
      </c>
      <c r="U572" s="3">
        <v>42043</v>
      </c>
      <c r="V572" s="4">
        <v>8.7319999999999993</v>
      </c>
      <c r="W572">
        <v>14</v>
      </c>
      <c r="X572">
        <v>65.14</v>
      </c>
      <c r="Y572" s="7">
        <v>88634</v>
      </c>
    </row>
    <row r="573" spans="1:25" ht="12.75" customHeight="1">
      <c r="A573">
        <v>18921</v>
      </c>
      <c r="B573" t="s">
        <v>47</v>
      </c>
      <c r="C573" s="4">
        <v>0.02</v>
      </c>
      <c r="D573" s="8">
        <v>39.06</v>
      </c>
      <c r="E573" s="4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 s="5">
        <v>0.37</v>
      </c>
      <c r="O573" t="s">
        <v>33</v>
      </c>
      <c r="P573" t="s">
        <v>53</v>
      </c>
      <c r="Q573" t="s">
        <v>234</v>
      </c>
      <c r="R573" t="s">
        <v>1133</v>
      </c>
      <c r="S573" s="7">
        <v>15221</v>
      </c>
      <c r="T573" s="3">
        <v>42139</v>
      </c>
      <c r="U573" s="3">
        <v>42139</v>
      </c>
      <c r="V573" s="4">
        <v>442.0899</v>
      </c>
      <c r="W573">
        <v>16</v>
      </c>
      <c r="X573">
        <v>640.71</v>
      </c>
      <c r="Y573" s="7">
        <v>88633</v>
      </c>
    </row>
    <row r="574" spans="1:25" ht="12.75" customHeight="1">
      <c r="A574">
        <v>18922</v>
      </c>
      <c r="B574" t="s">
        <v>47</v>
      </c>
      <c r="C574" s="4">
        <v>0.1</v>
      </c>
      <c r="D574" s="8">
        <v>37.700000000000003</v>
      </c>
      <c r="E574" s="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 s="5">
        <v>0.35</v>
      </c>
      <c r="O574" t="s">
        <v>33</v>
      </c>
      <c r="P574" t="s">
        <v>53</v>
      </c>
      <c r="Q574" t="s">
        <v>234</v>
      </c>
      <c r="R574" t="s">
        <v>1133</v>
      </c>
      <c r="S574" s="7">
        <v>15221</v>
      </c>
      <c r="T574" s="3">
        <v>42139</v>
      </c>
      <c r="U574" s="3">
        <v>42140</v>
      </c>
      <c r="V574" s="4">
        <v>455.12399999999997</v>
      </c>
      <c r="W574">
        <v>18</v>
      </c>
      <c r="X574">
        <v>659.6</v>
      </c>
      <c r="Y574" s="7">
        <v>88633</v>
      </c>
    </row>
    <row r="575" spans="1:25" ht="12.75" customHeight="1">
      <c r="A575">
        <v>21402</v>
      </c>
      <c r="B575" t="s">
        <v>37</v>
      </c>
      <c r="C575" s="4">
        <v>0.08</v>
      </c>
      <c r="D575" s="8">
        <v>65.989999999999995</v>
      </c>
      <c r="E575" s="4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 s="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 s="7">
        <v>11722</v>
      </c>
      <c r="T575" s="3">
        <v>42042</v>
      </c>
      <c r="U575" s="3">
        <v>42042</v>
      </c>
      <c r="V575" s="4">
        <v>624.40163999999993</v>
      </c>
      <c r="W575">
        <v>22</v>
      </c>
      <c r="X575">
        <v>1137.5999999999999</v>
      </c>
      <c r="Y575" s="7">
        <v>89005</v>
      </c>
    </row>
    <row r="576" spans="1:25" ht="12.75" customHeight="1">
      <c r="A576">
        <v>20872</v>
      </c>
      <c r="B576" t="s">
        <v>25</v>
      </c>
      <c r="C576" s="4">
        <v>0.1</v>
      </c>
      <c r="D576" s="8">
        <v>5.98</v>
      </c>
      <c r="E576" s="4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 s="5">
        <v>0.68</v>
      </c>
      <c r="O576" t="s">
        <v>33</v>
      </c>
      <c r="P576" t="s">
        <v>53</v>
      </c>
      <c r="Q576" t="s">
        <v>71</v>
      </c>
      <c r="R576" t="s">
        <v>1136</v>
      </c>
      <c r="S576" s="7">
        <v>11722</v>
      </c>
      <c r="T576" s="3">
        <v>42153</v>
      </c>
      <c r="U576" s="3">
        <v>42154</v>
      </c>
      <c r="V576" s="4">
        <v>18.922000000000011</v>
      </c>
      <c r="W576">
        <v>26</v>
      </c>
      <c r="X576">
        <v>151.55000000000001</v>
      </c>
      <c r="Y576" s="7">
        <v>89008</v>
      </c>
    </row>
    <row r="577" spans="1:25" ht="12.75" customHeight="1">
      <c r="A577">
        <v>20873</v>
      </c>
      <c r="B577" t="s">
        <v>25</v>
      </c>
      <c r="C577" s="4">
        <v>7.0000000000000007E-2</v>
      </c>
      <c r="D577" s="8">
        <v>2.61</v>
      </c>
      <c r="E577" s="4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 s="5">
        <v>0.39</v>
      </c>
      <c r="O577" t="s">
        <v>33</v>
      </c>
      <c r="P577" t="s">
        <v>53</v>
      </c>
      <c r="Q577" t="s">
        <v>71</v>
      </c>
      <c r="R577" t="s">
        <v>1136</v>
      </c>
      <c r="S577" s="7">
        <v>11722</v>
      </c>
      <c r="T577" s="3">
        <v>42153</v>
      </c>
      <c r="U577" s="3">
        <v>42156</v>
      </c>
      <c r="V577" s="4">
        <v>39.350699999999996</v>
      </c>
      <c r="W577">
        <v>22</v>
      </c>
      <c r="X577">
        <v>57.03</v>
      </c>
      <c r="Y577" s="7">
        <v>89008</v>
      </c>
    </row>
    <row r="578" spans="1:25" ht="12.75" customHeight="1">
      <c r="A578">
        <v>22662</v>
      </c>
      <c r="B578" t="s">
        <v>25</v>
      </c>
      <c r="C578" s="4">
        <v>0.1</v>
      </c>
      <c r="D578" s="8">
        <v>73.98</v>
      </c>
      <c r="E578" s="4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 s="5">
        <v>0.79</v>
      </c>
      <c r="O578" t="s">
        <v>33</v>
      </c>
      <c r="P578" t="s">
        <v>53</v>
      </c>
      <c r="Q578" t="s">
        <v>71</v>
      </c>
      <c r="R578" t="s">
        <v>1141</v>
      </c>
      <c r="S578" s="7">
        <v>14225</v>
      </c>
      <c r="T578" s="3">
        <v>42075</v>
      </c>
      <c r="U578" s="3">
        <v>42076</v>
      </c>
      <c r="V578" s="4">
        <v>-229.87</v>
      </c>
      <c r="W578">
        <v>5</v>
      </c>
      <c r="X578">
        <v>347.23</v>
      </c>
      <c r="Y578" s="7">
        <v>89004</v>
      </c>
    </row>
    <row r="579" spans="1:25" ht="12.75" customHeight="1">
      <c r="A579">
        <v>22663</v>
      </c>
      <c r="B579" t="s">
        <v>25</v>
      </c>
      <c r="C579" s="4">
        <v>0.05</v>
      </c>
      <c r="D579" s="8">
        <v>51.98</v>
      </c>
      <c r="E579" s="4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 s="5">
        <v>0.37</v>
      </c>
      <c r="O579" t="s">
        <v>33</v>
      </c>
      <c r="P579" t="s">
        <v>53</v>
      </c>
      <c r="Q579" t="s">
        <v>71</v>
      </c>
      <c r="R579" t="s">
        <v>1141</v>
      </c>
      <c r="S579" s="7">
        <v>14225</v>
      </c>
      <c r="T579" s="3">
        <v>42075</v>
      </c>
      <c r="U579" s="3">
        <v>42076</v>
      </c>
      <c r="V579" s="4">
        <v>329.9787</v>
      </c>
      <c r="W579">
        <v>9</v>
      </c>
      <c r="X579">
        <v>478.23</v>
      </c>
      <c r="Y579" s="7">
        <v>89004</v>
      </c>
    </row>
    <row r="580" spans="1:25" ht="12.75" customHeight="1">
      <c r="A580">
        <v>24325</v>
      </c>
      <c r="B580" t="s">
        <v>56</v>
      </c>
      <c r="C580" s="4">
        <v>7.0000000000000007E-2</v>
      </c>
      <c r="D580" s="8">
        <v>7.08</v>
      </c>
      <c r="E580" s="4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 s="5">
        <v>0.47</v>
      </c>
      <c r="O580" t="s">
        <v>33</v>
      </c>
      <c r="P580" t="s">
        <v>53</v>
      </c>
      <c r="Q580" t="s">
        <v>71</v>
      </c>
      <c r="R580" t="s">
        <v>1145</v>
      </c>
      <c r="S580" s="7">
        <v>11725</v>
      </c>
      <c r="T580" s="3">
        <v>42092</v>
      </c>
      <c r="U580" s="3">
        <v>42093</v>
      </c>
      <c r="V580" s="4">
        <v>30.49</v>
      </c>
      <c r="W580">
        <v>13</v>
      </c>
      <c r="X580">
        <v>93.82</v>
      </c>
      <c r="Y580" s="7">
        <v>89006</v>
      </c>
    </row>
    <row r="581" spans="1:25" ht="12.75" customHeight="1">
      <c r="A581">
        <v>23398</v>
      </c>
      <c r="B581" t="s">
        <v>37</v>
      </c>
      <c r="C581" s="4">
        <v>0.05</v>
      </c>
      <c r="D581" s="8">
        <v>83.1</v>
      </c>
      <c r="E581" s="4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 s="5">
        <v>0.45</v>
      </c>
      <c r="O581" t="s">
        <v>33</v>
      </c>
      <c r="P581" t="s">
        <v>53</v>
      </c>
      <c r="Q581" t="s">
        <v>71</v>
      </c>
      <c r="R581" t="s">
        <v>1145</v>
      </c>
      <c r="S581" s="7">
        <v>11725</v>
      </c>
      <c r="T581" s="3">
        <v>42132</v>
      </c>
      <c r="U581" s="3">
        <v>42133</v>
      </c>
      <c r="V581" s="4">
        <v>1152.5276999999999</v>
      </c>
      <c r="W581">
        <v>20</v>
      </c>
      <c r="X581">
        <v>1670.33</v>
      </c>
      <c r="Y581" s="7">
        <v>89007</v>
      </c>
    </row>
    <row r="582" spans="1:25" ht="12.75" customHeight="1">
      <c r="A582">
        <v>21959</v>
      </c>
      <c r="B582" t="s">
        <v>47</v>
      </c>
      <c r="C582" s="4">
        <v>7.0000000000000007E-2</v>
      </c>
      <c r="D582" s="8">
        <v>125.99</v>
      </c>
      <c r="E582" s="4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 s="5">
        <v>0.6</v>
      </c>
      <c r="O582" t="s">
        <v>33</v>
      </c>
      <c r="P582" t="s">
        <v>53</v>
      </c>
      <c r="Q582" t="s">
        <v>154</v>
      </c>
      <c r="R582" t="s">
        <v>1149</v>
      </c>
      <c r="S582" s="7">
        <v>43015</v>
      </c>
      <c r="T582" s="3">
        <v>42076</v>
      </c>
      <c r="U582" s="3">
        <v>42076</v>
      </c>
      <c r="V582" s="4">
        <v>-604.40600000000006</v>
      </c>
      <c r="W582">
        <v>1</v>
      </c>
      <c r="X582">
        <v>100.59</v>
      </c>
      <c r="Y582" s="7">
        <v>90710</v>
      </c>
    </row>
    <row r="583" spans="1:25" ht="12.75" customHeight="1">
      <c r="A583">
        <v>21960</v>
      </c>
      <c r="B583" t="s">
        <v>47</v>
      </c>
      <c r="C583" s="4">
        <v>0.03</v>
      </c>
      <c r="D583" s="8">
        <v>99.99</v>
      </c>
      <c r="E583" s="4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 s="5">
        <v>0.52</v>
      </c>
      <c r="O583" t="s">
        <v>33</v>
      </c>
      <c r="P583" t="s">
        <v>53</v>
      </c>
      <c r="Q583" t="s">
        <v>154</v>
      </c>
      <c r="R583" t="s">
        <v>1152</v>
      </c>
      <c r="S583" s="7">
        <v>43017</v>
      </c>
      <c r="T583" s="3">
        <v>42076</v>
      </c>
      <c r="U583" s="3">
        <v>42077</v>
      </c>
      <c r="V583" s="4">
        <v>293.66000000000003</v>
      </c>
      <c r="W583">
        <v>6</v>
      </c>
      <c r="X583">
        <v>598.38</v>
      </c>
      <c r="Y583" s="7">
        <v>90710</v>
      </c>
    </row>
    <row r="584" spans="1:25" ht="12.75" customHeight="1">
      <c r="A584">
        <v>20669</v>
      </c>
      <c r="B584" t="s">
        <v>47</v>
      </c>
      <c r="C584" s="4">
        <v>0.1</v>
      </c>
      <c r="D584" s="8">
        <v>7.64</v>
      </c>
      <c r="E584" s="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 s="5">
        <v>0.36</v>
      </c>
      <c r="O584" t="s">
        <v>33</v>
      </c>
      <c r="P584" t="s">
        <v>136</v>
      </c>
      <c r="Q584" t="s">
        <v>362</v>
      </c>
      <c r="R584" t="s">
        <v>1154</v>
      </c>
      <c r="S584" s="7">
        <v>33430</v>
      </c>
      <c r="T584" s="3">
        <v>42171</v>
      </c>
      <c r="U584" s="3">
        <v>42172</v>
      </c>
      <c r="V584" s="4">
        <v>-403.18739999999997</v>
      </c>
      <c r="W584">
        <v>5</v>
      </c>
      <c r="X584">
        <v>39.36</v>
      </c>
      <c r="Y584" s="7">
        <v>90641</v>
      </c>
    </row>
    <row r="585" spans="1:25" ht="12.75" customHeight="1">
      <c r="A585">
        <v>18404</v>
      </c>
      <c r="B585" t="s">
        <v>47</v>
      </c>
      <c r="C585" s="4">
        <v>0.06</v>
      </c>
      <c r="D585" s="8">
        <v>55.94</v>
      </c>
      <c r="E585" s="4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 s="5">
        <v>0.74</v>
      </c>
      <c r="O585" t="s">
        <v>33</v>
      </c>
      <c r="P585" t="s">
        <v>34</v>
      </c>
      <c r="Q585" t="s">
        <v>45</v>
      </c>
      <c r="R585" t="s">
        <v>1157</v>
      </c>
      <c r="S585" s="7">
        <v>95695</v>
      </c>
      <c r="T585" s="3">
        <v>42111</v>
      </c>
      <c r="U585" s="3">
        <v>42112</v>
      </c>
      <c r="V585" s="4">
        <v>-13.77</v>
      </c>
      <c r="W585">
        <v>6</v>
      </c>
      <c r="X585">
        <v>322.77</v>
      </c>
      <c r="Y585" s="7">
        <v>87846</v>
      </c>
    </row>
    <row r="586" spans="1:25" ht="12.75" customHeight="1">
      <c r="A586">
        <v>18405</v>
      </c>
      <c r="B586" t="s">
        <v>47</v>
      </c>
      <c r="C586" s="4">
        <v>7.0000000000000007E-2</v>
      </c>
      <c r="D586" s="8">
        <v>6.3</v>
      </c>
      <c r="E586" s="4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 s="5">
        <v>0.39</v>
      </c>
      <c r="O586" t="s">
        <v>33</v>
      </c>
      <c r="P586" t="s">
        <v>34</v>
      </c>
      <c r="Q586" t="s">
        <v>45</v>
      </c>
      <c r="R586" t="s">
        <v>1157</v>
      </c>
      <c r="S586" s="7">
        <v>95695</v>
      </c>
      <c r="T586" s="3">
        <v>42111</v>
      </c>
      <c r="U586" s="3">
        <v>42111</v>
      </c>
      <c r="V586" s="4">
        <v>44.912100000000002</v>
      </c>
      <c r="W586">
        <v>11</v>
      </c>
      <c r="X586">
        <v>65.09</v>
      </c>
      <c r="Y586" s="7">
        <v>87846</v>
      </c>
    </row>
    <row r="587" spans="1:25" ht="12.75" customHeight="1">
      <c r="A587">
        <v>20937</v>
      </c>
      <c r="B587" t="s">
        <v>47</v>
      </c>
      <c r="C587" s="4">
        <v>0</v>
      </c>
      <c r="D587" s="8">
        <v>14.42</v>
      </c>
      <c r="E587" s="4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 s="5">
        <v>0.52</v>
      </c>
      <c r="O587" t="s">
        <v>33</v>
      </c>
      <c r="P587" t="s">
        <v>34</v>
      </c>
      <c r="Q587" t="s">
        <v>45</v>
      </c>
      <c r="R587" t="s">
        <v>1160</v>
      </c>
      <c r="S587" s="7">
        <v>95991</v>
      </c>
      <c r="T587" s="3">
        <v>42140</v>
      </c>
      <c r="U587" s="3">
        <v>42141</v>
      </c>
      <c r="V587" s="4">
        <v>9.33</v>
      </c>
      <c r="W587">
        <v>6</v>
      </c>
      <c r="X587">
        <v>98.96</v>
      </c>
      <c r="Y587" s="7">
        <v>87847</v>
      </c>
    </row>
    <row r="588" spans="1:25" ht="12.75" customHeight="1">
      <c r="A588">
        <v>3926</v>
      </c>
      <c r="B588" t="s">
        <v>47</v>
      </c>
      <c r="C588" s="4">
        <v>0.02</v>
      </c>
      <c r="D588" s="8">
        <v>209.84</v>
      </c>
      <c r="E588" s="4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 s="5">
        <v>0.59</v>
      </c>
      <c r="O588" t="s">
        <v>33</v>
      </c>
      <c r="P588" t="s">
        <v>34</v>
      </c>
      <c r="Q588" t="s">
        <v>45</v>
      </c>
      <c r="R588" t="s">
        <v>663</v>
      </c>
      <c r="S588" s="7">
        <v>90004</v>
      </c>
      <c r="T588" s="3">
        <v>42169</v>
      </c>
      <c r="U588" s="3">
        <v>42169</v>
      </c>
      <c r="V588" s="4">
        <v>2593.14</v>
      </c>
      <c r="W588">
        <v>62</v>
      </c>
      <c r="X588">
        <v>13546.94</v>
      </c>
      <c r="Y588" s="7">
        <v>28001</v>
      </c>
    </row>
    <row r="589" spans="1:25" ht="12.75" customHeight="1">
      <c r="A589">
        <v>3927</v>
      </c>
      <c r="B589" t="s">
        <v>47</v>
      </c>
      <c r="C589" s="4">
        <v>0.01</v>
      </c>
      <c r="D589" s="8">
        <v>194.3</v>
      </c>
      <c r="E589" s="4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 s="5">
        <v>0.59</v>
      </c>
      <c r="O589" t="s">
        <v>33</v>
      </c>
      <c r="P589" t="s">
        <v>34</v>
      </c>
      <c r="Q589" t="s">
        <v>45</v>
      </c>
      <c r="R589" t="s">
        <v>663</v>
      </c>
      <c r="S589" s="7">
        <v>90004</v>
      </c>
      <c r="T589" s="3">
        <v>42169</v>
      </c>
      <c r="U589" s="3">
        <v>42171</v>
      </c>
      <c r="V589" s="4">
        <v>1162.76</v>
      </c>
      <c r="W589">
        <v>32</v>
      </c>
      <c r="X589">
        <v>6401.65</v>
      </c>
      <c r="Y589" s="7">
        <v>28001</v>
      </c>
    </row>
    <row r="590" spans="1:25" ht="12.75" customHeight="1">
      <c r="A590">
        <v>6711</v>
      </c>
      <c r="B590" t="s">
        <v>25</v>
      </c>
      <c r="C590" s="4">
        <v>0</v>
      </c>
      <c r="D590" s="8">
        <v>6.68</v>
      </c>
      <c r="E590" s="4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 s="5">
        <v>0.37</v>
      </c>
      <c r="O590" t="s">
        <v>33</v>
      </c>
      <c r="P590" t="s">
        <v>34</v>
      </c>
      <c r="Q590" t="s">
        <v>45</v>
      </c>
      <c r="R590" t="s">
        <v>663</v>
      </c>
      <c r="S590" s="7">
        <v>90004</v>
      </c>
      <c r="T590" s="3">
        <v>42062</v>
      </c>
      <c r="U590" s="3">
        <v>42063</v>
      </c>
      <c r="V590" s="4">
        <v>-76.94</v>
      </c>
      <c r="W590">
        <v>90</v>
      </c>
      <c r="X590">
        <v>617.4</v>
      </c>
      <c r="Y590" s="7">
        <v>47813</v>
      </c>
    </row>
    <row r="591" spans="1:25" ht="12.75" customHeight="1">
      <c r="A591">
        <v>24711</v>
      </c>
      <c r="B591" t="s">
        <v>25</v>
      </c>
      <c r="C591" s="4">
        <v>0</v>
      </c>
      <c r="D591" s="8">
        <v>6.68</v>
      </c>
      <c r="E591" s="4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 s="5">
        <v>0.37</v>
      </c>
      <c r="O591" t="s">
        <v>33</v>
      </c>
      <c r="P591" t="s">
        <v>53</v>
      </c>
      <c r="Q591" t="s">
        <v>193</v>
      </c>
      <c r="R591" t="s">
        <v>194</v>
      </c>
      <c r="S591" s="7">
        <v>2109</v>
      </c>
      <c r="T591" s="3">
        <v>42062</v>
      </c>
      <c r="U591" s="3">
        <v>42063</v>
      </c>
      <c r="V591" s="4">
        <v>-40.008800000000001</v>
      </c>
      <c r="W591">
        <v>23</v>
      </c>
      <c r="X591">
        <v>157.78</v>
      </c>
      <c r="Y591" s="7">
        <v>89389</v>
      </c>
    </row>
    <row r="592" spans="1:25">
      <c r="A592">
        <v>26259</v>
      </c>
      <c r="B592" t="s">
        <v>37</v>
      </c>
      <c r="C592" s="4">
        <v>0.03</v>
      </c>
      <c r="D592" s="8">
        <v>5.44</v>
      </c>
      <c r="E592" s="4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 s="5">
        <v>0.36</v>
      </c>
      <c r="O592" t="s">
        <v>33</v>
      </c>
      <c r="P592" t="s">
        <v>34</v>
      </c>
      <c r="Q592" t="s">
        <v>378</v>
      </c>
      <c r="R592" t="s">
        <v>1168</v>
      </c>
      <c r="S592" s="7">
        <v>85374</v>
      </c>
      <c r="T592" s="3">
        <v>42149</v>
      </c>
      <c r="U592" s="3">
        <v>42151</v>
      </c>
      <c r="V592" s="4">
        <v>-51.704000000000001</v>
      </c>
      <c r="W592">
        <v>4</v>
      </c>
      <c r="X592">
        <v>26.31</v>
      </c>
      <c r="Y592" s="7">
        <v>90069</v>
      </c>
    </row>
    <row r="593" spans="1:25">
      <c r="A593">
        <v>26260</v>
      </c>
      <c r="B593" t="s">
        <v>37</v>
      </c>
      <c r="C593" s="4">
        <v>0.08</v>
      </c>
      <c r="D593" s="8">
        <v>26.38</v>
      </c>
      <c r="E593" s="4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 s="5">
        <v>0.39</v>
      </c>
      <c r="O593" t="s">
        <v>33</v>
      </c>
      <c r="P593" t="s">
        <v>34</v>
      </c>
      <c r="Q593" t="s">
        <v>378</v>
      </c>
      <c r="R593" t="s">
        <v>1168</v>
      </c>
      <c r="S593" s="7">
        <v>85374</v>
      </c>
      <c r="T593" s="3">
        <v>42149</v>
      </c>
      <c r="U593" s="3">
        <v>42150</v>
      </c>
      <c r="V593" s="4">
        <v>144.7482</v>
      </c>
      <c r="W593">
        <v>8</v>
      </c>
      <c r="X593">
        <v>209.78</v>
      </c>
      <c r="Y593" s="7">
        <v>90069</v>
      </c>
    </row>
    <row r="594" spans="1:25">
      <c r="A594">
        <v>26261</v>
      </c>
      <c r="B594" t="s">
        <v>37</v>
      </c>
      <c r="C594" s="4">
        <v>0.06</v>
      </c>
      <c r="D594" s="8">
        <v>20.99</v>
      </c>
      <c r="E594" s="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 s="5">
        <v>0.81</v>
      </c>
      <c r="O594" t="s">
        <v>33</v>
      </c>
      <c r="P594" t="s">
        <v>34</v>
      </c>
      <c r="Q594" t="s">
        <v>378</v>
      </c>
      <c r="R594" t="s">
        <v>1168</v>
      </c>
      <c r="S594" s="7">
        <v>85374</v>
      </c>
      <c r="T594" s="3">
        <v>42149</v>
      </c>
      <c r="U594" s="3">
        <v>42151</v>
      </c>
      <c r="V594" s="4">
        <v>-112.18899999999999</v>
      </c>
      <c r="W594">
        <v>1</v>
      </c>
      <c r="X594">
        <v>17.829999999999998</v>
      </c>
      <c r="Y594" s="7">
        <v>90069</v>
      </c>
    </row>
    <row r="595" spans="1:25" ht="12.75" customHeight="1">
      <c r="A595">
        <v>8200</v>
      </c>
      <c r="B595" t="s">
        <v>56</v>
      </c>
      <c r="C595" s="4">
        <v>0.09</v>
      </c>
      <c r="D595" s="8">
        <v>138.75</v>
      </c>
      <c r="E595" s="4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 s="5">
        <v>0.74</v>
      </c>
      <c r="O595" t="s">
        <v>33</v>
      </c>
      <c r="P595" t="s">
        <v>136</v>
      </c>
      <c r="Q595" t="s">
        <v>387</v>
      </c>
      <c r="R595" t="s">
        <v>580</v>
      </c>
      <c r="S595" s="7">
        <v>30318</v>
      </c>
      <c r="T595" s="3">
        <v>42087</v>
      </c>
      <c r="U595" s="3">
        <v>42088</v>
      </c>
      <c r="V595" s="4">
        <v>-445.97177625000006</v>
      </c>
      <c r="W595">
        <v>23</v>
      </c>
      <c r="X595">
        <v>2527.79</v>
      </c>
      <c r="Y595" s="7">
        <v>58628</v>
      </c>
    </row>
    <row r="596" spans="1:25" ht="12.75" customHeight="1">
      <c r="A596">
        <v>7980</v>
      </c>
      <c r="B596" t="s">
        <v>106</v>
      </c>
      <c r="C596" s="4">
        <v>7.0000000000000007E-2</v>
      </c>
      <c r="D596" s="8">
        <v>6.3</v>
      </c>
      <c r="E596" s="4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 s="5">
        <v>0.39</v>
      </c>
      <c r="O596" t="s">
        <v>33</v>
      </c>
      <c r="P596" t="s">
        <v>136</v>
      </c>
      <c r="Q596" t="s">
        <v>387</v>
      </c>
      <c r="R596" t="s">
        <v>580</v>
      </c>
      <c r="S596" s="7">
        <v>30318</v>
      </c>
      <c r="T596" s="3">
        <v>42154</v>
      </c>
      <c r="U596" s="3">
        <v>42154</v>
      </c>
      <c r="V596" s="4">
        <v>4.1673999999999998</v>
      </c>
      <c r="W596">
        <v>20</v>
      </c>
      <c r="X596">
        <v>121.87</v>
      </c>
      <c r="Y596" s="7">
        <v>57061</v>
      </c>
    </row>
    <row r="597" spans="1:25" ht="12.75" customHeight="1">
      <c r="A597">
        <v>26200</v>
      </c>
      <c r="B597" t="s">
        <v>56</v>
      </c>
      <c r="C597" s="4">
        <v>0.09</v>
      </c>
      <c r="D597" s="8">
        <v>138.75</v>
      </c>
      <c r="E597" s="4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 s="5">
        <v>0.74</v>
      </c>
      <c r="O597" t="s">
        <v>33</v>
      </c>
      <c r="P597" t="s">
        <v>53</v>
      </c>
      <c r="Q597" t="s">
        <v>71</v>
      </c>
      <c r="R597" t="s">
        <v>1174</v>
      </c>
      <c r="S597" s="7">
        <v>11727</v>
      </c>
      <c r="T597" s="3">
        <v>42087</v>
      </c>
      <c r="U597" s="3">
        <v>42088</v>
      </c>
      <c r="V597" s="4">
        <v>-335.31712500000003</v>
      </c>
      <c r="W597">
        <v>6</v>
      </c>
      <c r="X597">
        <v>659.42</v>
      </c>
      <c r="Y597" s="7">
        <v>91354</v>
      </c>
    </row>
    <row r="598" spans="1:25" ht="12.75" customHeight="1">
      <c r="A598">
        <v>25979</v>
      </c>
      <c r="B598" t="s">
        <v>106</v>
      </c>
      <c r="C598" s="4">
        <v>0.04</v>
      </c>
      <c r="D598" s="8">
        <v>22.38</v>
      </c>
      <c r="E598" s="4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 s="5">
        <v>0.38</v>
      </c>
      <c r="O598" t="s">
        <v>33</v>
      </c>
      <c r="P598" t="s">
        <v>53</v>
      </c>
      <c r="Q598" t="s">
        <v>71</v>
      </c>
      <c r="R598" t="s">
        <v>1174</v>
      </c>
      <c r="S598" s="7">
        <v>11727</v>
      </c>
      <c r="T598" s="3">
        <v>42154</v>
      </c>
      <c r="U598" s="3">
        <v>42162</v>
      </c>
      <c r="V598" s="4">
        <v>16.021800000000013</v>
      </c>
      <c r="W598">
        <v>18</v>
      </c>
      <c r="X598">
        <v>403.53</v>
      </c>
      <c r="Y598" s="7">
        <v>91355</v>
      </c>
    </row>
    <row r="599" spans="1:25" ht="12.75" customHeight="1">
      <c r="A599">
        <v>25981</v>
      </c>
      <c r="B599" t="s">
        <v>106</v>
      </c>
      <c r="C599" s="4">
        <v>0.06</v>
      </c>
      <c r="D599" s="8">
        <v>17.78</v>
      </c>
      <c r="E599" s="4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 s="5">
        <v>0.54</v>
      </c>
      <c r="O599" t="s">
        <v>33</v>
      </c>
      <c r="P599" t="s">
        <v>53</v>
      </c>
      <c r="Q599" t="s">
        <v>71</v>
      </c>
      <c r="R599" t="s">
        <v>1174</v>
      </c>
      <c r="S599" s="7">
        <v>11727</v>
      </c>
      <c r="T599" s="3">
        <v>42154</v>
      </c>
      <c r="U599" s="3">
        <v>42157</v>
      </c>
      <c r="V599" s="4">
        <v>38.067299999999996</v>
      </c>
      <c r="W599">
        <v>3</v>
      </c>
      <c r="X599">
        <v>55.17</v>
      </c>
      <c r="Y599" s="7">
        <v>91355</v>
      </c>
    </row>
    <row r="600" spans="1:25" ht="12.75" customHeight="1">
      <c r="A600">
        <v>19445</v>
      </c>
      <c r="B600" t="s">
        <v>47</v>
      </c>
      <c r="C600" s="4">
        <v>0.01</v>
      </c>
      <c r="D600" s="8">
        <v>15.99</v>
      </c>
      <c r="E600" s="4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 s="5">
        <v>0.37</v>
      </c>
      <c r="O600" t="s">
        <v>33</v>
      </c>
      <c r="P600" t="s">
        <v>61</v>
      </c>
      <c r="Q600" t="s">
        <v>178</v>
      </c>
      <c r="R600" t="s">
        <v>1178</v>
      </c>
      <c r="S600" s="7">
        <v>60459</v>
      </c>
      <c r="T600" s="3">
        <v>42053</v>
      </c>
      <c r="U600" s="3">
        <v>42055</v>
      </c>
      <c r="V600" s="4">
        <v>-99.435440000000014</v>
      </c>
      <c r="W600">
        <v>23</v>
      </c>
      <c r="X600">
        <v>377.44</v>
      </c>
      <c r="Y600" s="7">
        <v>88899</v>
      </c>
    </row>
    <row r="601" spans="1:25" ht="12.75" customHeight="1">
      <c r="A601">
        <v>20445</v>
      </c>
      <c r="B601" t="s">
        <v>106</v>
      </c>
      <c r="C601" s="4">
        <v>0.04</v>
      </c>
      <c r="D601" s="8">
        <v>22.84</v>
      </c>
      <c r="E601" s="4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 s="5">
        <v>0.39</v>
      </c>
      <c r="O601" t="s">
        <v>33</v>
      </c>
      <c r="P601" t="s">
        <v>61</v>
      </c>
      <c r="Q601" t="s">
        <v>178</v>
      </c>
      <c r="R601" t="s">
        <v>1181</v>
      </c>
      <c r="S601" s="7">
        <v>60409</v>
      </c>
      <c r="T601" s="3">
        <v>42079</v>
      </c>
      <c r="U601" s="3">
        <v>42079</v>
      </c>
      <c r="V601" s="4">
        <v>-97.28</v>
      </c>
      <c r="W601">
        <v>12</v>
      </c>
      <c r="X601">
        <v>286.39999999999998</v>
      </c>
      <c r="Y601" s="7">
        <v>87109</v>
      </c>
    </row>
    <row r="602" spans="1:25" ht="12.75" customHeight="1">
      <c r="A602">
        <v>24737</v>
      </c>
      <c r="B602" t="s">
        <v>56</v>
      </c>
      <c r="C602" s="4">
        <v>0.02</v>
      </c>
      <c r="D602" s="8">
        <v>15.94</v>
      </c>
      <c r="E602" s="4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 s="5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 s="7">
        <v>62901</v>
      </c>
      <c r="T602" s="3">
        <v>42138</v>
      </c>
      <c r="U602" s="3">
        <v>42139</v>
      </c>
      <c r="V602" s="4">
        <v>139.61200000000002</v>
      </c>
      <c r="W602">
        <v>41</v>
      </c>
      <c r="X602">
        <v>664.34</v>
      </c>
      <c r="Y602" s="7">
        <v>87110</v>
      </c>
    </row>
    <row r="603" spans="1:25" ht="12.75" customHeight="1">
      <c r="A603">
        <v>22685</v>
      </c>
      <c r="B603" t="s">
        <v>37</v>
      </c>
      <c r="C603" s="4">
        <v>0.01</v>
      </c>
      <c r="D603" s="8">
        <v>150.88999999999999</v>
      </c>
      <c r="E603" s="4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 s="5">
        <v>0.77</v>
      </c>
      <c r="O603" t="s">
        <v>33</v>
      </c>
      <c r="P603" t="s">
        <v>53</v>
      </c>
      <c r="Q603" t="s">
        <v>234</v>
      </c>
      <c r="R603" t="s">
        <v>1187</v>
      </c>
      <c r="S603" s="7">
        <v>18018</v>
      </c>
      <c r="T603" s="3">
        <v>42090</v>
      </c>
      <c r="U603" s="3">
        <v>42093</v>
      </c>
      <c r="V603" s="4">
        <v>-505.76</v>
      </c>
      <c r="W603">
        <v>3</v>
      </c>
      <c r="X603">
        <v>473.53</v>
      </c>
      <c r="Y603" s="7">
        <v>89631</v>
      </c>
    </row>
    <row r="604" spans="1:25" ht="12.75" customHeight="1">
      <c r="A604">
        <v>26176</v>
      </c>
      <c r="B604" t="s">
        <v>25</v>
      </c>
      <c r="C604" s="4">
        <v>0.04</v>
      </c>
      <c r="D604" s="8">
        <v>19.23</v>
      </c>
      <c r="E604" s="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 s="5">
        <v>0.44</v>
      </c>
      <c r="O604" t="s">
        <v>33</v>
      </c>
      <c r="P604" t="s">
        <v>61</v>
      </c>
      <c r="Q604" t="s">
        <v>178</v>
      </c>
      <c r="R604" t="s">
        <v>1189</v>
      </c>
      <c r="S604" s="7">
        <v>60441</v>
      </c>
      <c r="T604" s="3">
        <v>42072</v>
      </c>
      <c r="U604" s="3">
        <v>42073</v>
      </c>
      <c r="V604" s="4">
        <v>152.43479999999997</v>
      </c>
      <c r="W604">
        <v>11</v>
      </c>
      <c r="X604">
        <v>220.92</v>
      </c>
      <c r="Y604" s="7">
        <v>86422</v>
      </c>
    </row>
    <row r="605" spans="1:25" ht="12.75" customHeight="1">
      <c r="A605">
        <v>23312</v>
      </c>
      <c r="B605" t="s">
        <v>37</v>
      </c>
      <c r="C605" s="4">
        <v>0.08</v>
      </c>
      <c r="D605" s="8">
        <v>13.9</v>
      </c>
      <c r="E605" s="4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 s="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 s="7">
        <v>60174</v>
      </c>
      <c r="T605" s="3">
        <v>42132</v>
      </c>
      <c r="U605" s="3">
        <v>42133</v>
      </c>
      <c r="V605" s="4">
        <v>9.862000000000009</v>
      </c>
      <c r="W605">
        <v>14</v>
      </c>
      <c r="X605">
        <v>196.41</v>
      </c>
      <c r="Y605" s="7">
        <v>88461</v>
      </c>
    </row>
    <row r="606" spans="1:25" ht="12.75" customHeight="1">
      <c r="A606">
        <v>24324</v>
      </c>
      <c r="B606" t="s">
        <v>37</v>
      </c>
      <c r="C606" s="4">
        <v>7.0000000000000007E-2</v>
      </c>
      <c r="D606" s="8">
        <v>55.99</v>
      </c>
      <c r="E606" s="4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 s="5">
        <v>0.83</v>
      </c>
      <c r="O606" t="s">
        <v>33</v>
      </c>
      <c r="P606" t="s">
        <v>61</v>
      </c>
      <c r="Q606" t="s">
        <v>178</v>
      </c>
      <c r="R606" t="s">
        <v>1193</v>
      </c>
      <c r="S606" s="7">
        <v>62701</v>
      </c>
      <c r="T606" s="3">
        <v>42094</v>
      </c>
      <c r="U606" s="3">
        <v>42096</v>
      </c>
      <c r="V606" s="4">
        <v>-232.99100000000001</v>
      </c>
      <c r="W606">
        <v>1</v>
      </c>
      <c r="X606">
        <v>54.08</v>
      </c>
      <c r="Y606" s="7">
        <v>88460</v>
      </c>
    </row>
    <row r="607" spans="1:25" ht="12.75" customHeight="1">
      <c r="A607">
        <v>18047</v>
      </c>
      <c r="B607" t="s">
        <v>37</v>
      </c>
      <c r="C607" s="4">
        <v>0.05</v>
      </c>
      <c r="D607" s="8">
        <v>7.64</v>
      </c>
      <c r="E607" s="4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 s="5">
        <v>0.36</v>
      </c>
      <c r="O607" t="s">
        <v>33</v>
      </c>
      <c r="P607" t="s">
        <v>53</v>
      </c>
      <c r="Q607" t="s">
        <v>71</v>
      </c>
      <c r="R607" t="s">
        <v>1195</v>
      </c>
      <c r="S607" s="7">
        <v>11729</v>
      </c>
      <c r="T607" s="3">
        <v>42009</v>
      </c>
      <c r="U607" s="3">
        <v>42010</v>
      </c>
      <c r="V607" s="4">
        <v>-40.275199999999998</v>
      </c>
      <c r="W607">
        <v>6</v>
      </c>
      <c r="X607">
        <v>47.18</v>
      </c>
      <c r="Y607" s="7">
        <v>86122</v>
      </c>
    </row>
    <row r="608" spans="1:25" ht="12.75" customHeight="1">
      <c r="A608">
        <v>25279</v>
      </c>
      <c r="B608" t="s">
        <v>25</v>
      </c>
      <c r="C608" s="4">
        <v>0.04</v>
      </c>
      <c r="D608" s="8">
        <v>9.06</v>
      </c>
      <c r="E608" s="4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 s="5">
        <v>0.4</v>
      </c>
      <c r="O608" t="s">
        <v>33</v>
      </c>
      <c r="P608" t="s">
        <v>53</v>
      </c>
      <c r="Q608" t="s">
        <v>71</v>
      </c>
      <c r="R608" t="s">
        <v>1195</v>
      </c>
      <c r="S608" s="7">
        <v>11729</v>
      </c>
      <c r="T608" s="3">
        <v>42118</v>
      </c>
      <c r="U608" s="3">
        <v>42119</v>
      </c>
      <c r="V608" s="4">
        <v>-53.25</v>
      </c>
      <c r="W608">
        <v>3</v>
      </c>
      <c r="X608">
        <v>30.87</v>
      </c>
      <c r="Y608" s="7">
        <v>86123</v>
      </c>
    </row>
    <row r="609" spans="1:25" ht="12.75" customHeight="1">
      <c r="A609">
        <v>23104</v>
      </c>
      <c r="B609" t="s">
        <v>37</v>
      </c>
      <c r="C609" s="4">
        <v>0.06</v>
      </c>
      <c r="D609" s="8">
        <v>30.42</v>
      </c>
      <c r="E609" s="4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 s="5">
        <v>0.74</v>
      </c>
      <c r="O609" t="s">
        <v>33</v>
      </c>
      <c r="P609" t="s">
        <v>53</v>
      </c>
      <c r="Q609" t="s">
        <v>71</v>
      </c>
      <c r="R609" t="s">
        <v>1195</v>
      </c>
      <c r="S609" s="7">
        <v>11729</v>
      </c>
      <c r="T609" s="3">
        <v>42137</v>
      </c>
      <c r="U609" s="3">
        <v>42139</v>
      </c>
      <c r="V609" s="4">
        <v>-159.25</v>
      </c>
      <c r="W609">
        <v>10</v>
      </c>
      <c r="X609">
        <v>309.05</v>
      </c>
      <c r="Y609" s="7">
        <v>86124</v>
      </c>
    </row>
    <row r="610" spans="1:25" ht="12.75" customHeight="1">
      <c r="A610">
        <v>23105</v>
      </c>
      <c r="B610" t="s">
        <v>37</v>
      </c>
      <c r="C610" s="4">
        <v>0.02</v>
      </c>
      <c r="D610" s="8">
        <v>37.94</v>
      </c>
      <c r="E610" s="4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 s="5">
        <v>0.38</v>
      </c>
      <c r="O610" t="s">
        <v>33</v>
      </c>
      <c r="P610" t="s">
        <v>53</v>
      </c>
      <c r="Q610" t="s">
        <v>71</v>
      </c>
      <c r="R610" t="s">
        <v>1195</v>
      </c>
      <c r="S610" s="7">
        <v>11729</v>
      </c>
      <c r="T610" s="3">
        <v>42137</v>
      </c>
      <c r="U610" s="3">
        <v>42138</v>
      </c>
      <c r="V610" s="4">
        <v>206.517</v>
      </c>
      <c r="W610">
        <v>8</v>
      </c>
      <c r="X610">
        <v>299.3</v>
      </c>
      <c r="Y610" s="7">
        <v>86124</v>
      </c>
    </row>
    <row r="611" spans="1:25" ht="12.75" customHeight="1">
      <c r="A611">
        <v>25280</v>
      </c>
      <c r="B611" t="s">
        <v>25</v>
      </c>
      <c r="C611" s="4">
        <v>0.04</v>
      </c>
      <c r="D611" s="8">
        <v>14.27</v>
      </c>
      <c r="E611" s="4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 s="5">
        <v>0.38</v>
      </c>
      <c r="O611" t="s">
        <v>33</v>
      </c>
      <c r="P611" t="s">
        <v>53</v>
      </c>
      <c r="Q611" t="s">
        <v>71</v>
      </c>
      <c r="R611" t="s">
        <v>1199</v>
      </c>
      <c r="S611" s="7">
        <v>11746</v>
      </c>
      <c r="T611" s="3">
        <v>42118</v>
      </c>
      <c r="U611" s="3">
        <v>42119</v>
      </c>
      <c r="V611" s="4">
        <v>2.125</v>
      </c>
      <c r="W611">
        <v>3</v>
      </c>
      <c r="X611">
        <v>45.24</v>
      </c>
      <c r="Y611" s="7">
        <v>86123</v>
      </c>
    </row>
    <row r="612" spans="1:25" ht="12.75" customHeight="1">
      <c r="A612">
        <v>22537</v>
      </c>
      <c r="B612" t="s">
        <v>56</v>
      </c>
      <c r="C612" s="4">
        <v>0.02</v>
      </c>
      <c r="D612" s="8">
        <v>15.14</v>
      </c>
      <c r="E612" s="4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 s="5">
        <v>0.81</v>
      </c>
      <c r="O612" t="s">
        <v>33</v>
      </c>
      <c r="P612" t="s">
        <v>34</v>
      </c>
      <c r="Q612" t="s">
        <v>45</v>
      </c>
      <c r="R612" t="s">
        <v>1092</v>
      </c>
      <c r="S612" s="7">
        <v>93030</v>
      </c>
      <c r="T612" s="3">
        <v>42129</v>
      </c>
      <c r="U612" s="3">
        <v>42130</v>
      </c>
      <c r="V612" s="4">
        <v>5.8840000000000074</v>
      </c>
      <c r="W612">
        <v>3</v>
      </c>
      <c r="X612">
        <v>51.02</v>
      </c>
      <c r="Y612" s="7">
        <v>91488</v>
      </c>
    </row>
    <row r="613" spans="1:25" ht="12.75" customHeight="1">
      <c r="A613">
        <v>21847</v>
      </c>
      <c r="B613" t="s">
        <v>37</v>
      </c>
      <c r="C613" s="4">
        <v>0.05</v>
      </c>
      <c r="D613" s="8">
        <v>328.14</v>
      </c>
      <c r="E613" s="4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 s="5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 s="7">
        <v>68046</v>
      </c>
      <c r="T613" s="3">
        <v>42104</v>
      </c>
      <c r="U613" s="3">
        <v>42105</v>
      </c>
      <c r="V613" s="4">
        <v>772.04</v>
      </c>
      <c r="W613">
        <v>7</v>
      </c>
      <c r="X613">
        <v>2291.39</v>
      </c>
      <c r="Y613" s="7">
        <v>90977</v>
      </c>
    </row>
    <row r="614" spans="1:25" ht="12.75" customHeight="1">
      <c r="A614">
        <v>3847</v>
      </c>
      <c r="B614" t="s">
        <v>37</v>
      </c>
      <c r="C614" s="4">
        <v>0.05</v>
      </c>
      <c r="D614" s="8">
        <v>328.14</v>
      </c>
      <c r="E614" s="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 s="5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 s="7">
        <v>10282</v>
      </c>
      <c r="T614" s="3">
        <v>42104</v>
      </c>
      <c r="U614" s="3">
        <v>42105</v>
      </c>
      <c r="V614" s="4">
        <v>772.04</v>
      </c>
      <c r="W614">
        <v>29</v>
      </c>
      <c r="X614">
        <v>9492.92</v>
      </c>
      <c r="Y614" s="7">
        <v>27456</v>
      </c>
    </row>
    <row r="615" spans="1:25" ht="12.75" customHeight="1">
      <c r="A615">
        <v>2808</v>
      </c>
      <c r="B615" t="s">
        <v>56</v>
      </c>
      <c r="C615" s="4">
        <v>0.04</v>
      </c>
      <c r="D615" s="8">
        <v>6.35</v>
      </c>
      <c r="E615" s="4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 s="5">
        <v>0.39</v>
      </c>
      <c r="O615" t="s">
        <v>33</v>
      </c>
      <c r="P615" t="s">
        <v>61</v>
      </c>
      <c r="Q615" t="s">
        <v>130</v>
      </c>
      <c r="R615" t="s">
        <v>787</v>
      </c>
      <c r="S615" s="7">
        <v>75220</v>
      </c>
      <c r="T615" s="3">
        <v>42144</v>
      </c>
      <c r="U615" s="3">
        <v>42147</v>
      </c>
      <c r="V615" s="4">
        <v>81.91</v>
      </c>
      <c r="W615">
        <v>52</v>
      </c>
      <c r="X615">
        <v>318.47000000000003</v>
      </c>
      <c r="Y615" s="7">
        <v>20261</v>
      </c>
    </row>
    <row r="616" spans="1:25" ht="12.75" customHeight="1">
      <c r="A616">
        <v>106</v>
      </c>
      <c r="B616" t="s">
        <v>25</v>
      </c>
      <c r="C616" s="4">
        <v>0.01</v>
      </c>
      <c r="D616" s="8">
        <v>9.31</v>
      </c>
      <c r="E616" s="4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 s="5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 s="7">
        <v>75220</v>
      </c>
      <c r="T616" s="3">
        <v>42145</v>
      </c>
      <c r="U616" s="3">
        <v>42146</v>
      </c>
      <c r="V616" s="4">
        <v>-10.9</v>
      </c>
      <c r="W616">
        <v>61</v>
      </c>
      <c r="X616">
        <v>586.96</v>
      </c>
      <c r="Y616" s="7">
        <v>646</v>
      </c>
    </row>
    <row r="617" spans="1:25" ht="12.75" customHeight="1">
      <c r="A617">
        <v>6443</v>
      </c>
      <c r="B617" t="s">
        <v>37</v>
      </c>
      <c r="C617" s="4">
        <v>0.08</v>
      </c>
      <c r="D617" s="8">
        <v>140.81</v>
      </c>
      <c r="E617" s="4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 s="5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 s="7">
        <v>75220</v>
      </c>
      <c r="T617" s="3">
        <v>42161</v>
      </c>
      <c r="U617" s="3">
        <v>42163</v>
      </c>
      <c r="V617" s="4">
        <v>1232.79</v>
      </c>
      <c r="W617">
        <v>81</v>
      </c>
      <c r="X617">
        <v>11272.77</v>
      </c>
      <c r="Y617" s="7">
        <v>45824</v>
      </c>
    </row>
    <row r="618" spans="1:25" ht="12.75" customHeight="1">
      <c r="A618">
        <v>18106</v>
      </c>
      <c r="B618" t="s">
        <v>25</v>
      </c>
      <c r="C618" s="4">
        <v>0.01</v>
      </c>
      <c r="D618" s="8">
        <v>9.31</v>
      </c>
      <c r="E618" s="4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 s="5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 s="7">
        <v>77566</v>
      </c>
      <c r="T618" s="3">
        <v>42145</v>
      </c>
      <c r="U618" s="3">
        <v>42146</v>
      </c>
      <c r="V618" s="4">
        <v>2.1800000000000015</v>
      </c>
      <c r="W618">
        <v>15</v>
      </c>
      <c r="X618">
        <v>144.33000000000001</v>
      </c>
      <c r="Y618" s="7">
        <v>86411</v>
      </c>
    </row>
    <row r="619" spans="1:25" ht="12.75" customHeight="1">
      <c r="A619">
        <v>20807</v>
      </c>
      <c r="B619" t="s">
        <v>56</v>
      </c>
      <c r="C619" s="4">
        <v>0.09</v>
      </c>
      <c r="D619" s="8">
        <v>31.74</v>
      </c>
      <c r="E619" s="4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 s="5">
        <v>0.37</v>
      </c>
      <c r="O619" t="s">
        <v>33</v>
      </c>
      <c r="P619" t="s">
        <v>61</v>
      </c>
      <c r="Q619" t="s">
        <v>130</v>
      </c>
      <c r="R619" t="s">
        <v>1211</v>
      </c>
      <c r="S619" s="7">
        <v>75146</v>
      </c>
      <c r="T619" s="3">
        <v>42144</v>
      </c>
      <c r="U619" s="3">
        <v>42144</v>
      </c>
      <c r="V619" s="4">
        <v>67.107500000000002</v>
      </c>
      <c r="W619">
        <v>9</v>
      </c>
      <c r="X619">
        <v>270.55</v>
      </c>
      <c r="Y619" s="7">
        <v>86409</v>
      </c>
    </row>
    <row r="620" spans="1:25" ht="12.75" customHeight="1">
      <c r="A620">
        <v>20808</v>
      </c>
      <c r="B620" t="s">
        <v>56</v>
      </c>
      <c r="C620" s="4">
        <v>0.04</v>
      </c>
      <c r="D620" s="8">
        <v>6.35</v>
      </c>
      <c r="E620" s="4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 s="5">
        <v>0.39</v>
      </c>
      <c r="O620" t="s">
        <v>33</v>
      </c>
      <c r="P620" t="s">
        <v>61</v>
      </c>
      <c r="Q620" t="s">
        <v>130</v>
      </c>
      <c r="R620" t="s">
        <v>1211</v>
      </c>
      <c r="S620" s="7">
        <v>75146</v>
      </c>
      <c r="T620" s="3">
        <v>42144</v>
      </c>
      <c r="U620" s="3">
        <v>42147</v>
      </c>
      <c r="V620" s="4">
        <v>54.937799999999996</v>
      </c>
      <c r="W620">
        <v>13</v>
      </c>
      <c r="X620">
        <v>79.62</v>
      </c>
      <c r="Y620" s="7">
        <v>86409</v>
      </c>
    </row>
    <row r="621" spans="1:25" ht="12.75" customHeight="1">
      <c r="A621">
        <v>20809</v>
      </c>
      <c r="B621" t="s">
        <v>56</v>
      </c>
      <c r="C621" s="4">
        <v>0.02</v>
      </c>
      <c r="D621" s="8">
        <v>65.989999999999995</v>
      </c>
      <c r="E621" s="4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 s="5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 s="7">
        <v>75146</v>
      </c>
      <c r="T621" s="3">
        <v>42144</v>
      </c>
      <c r="U621" s="3">
        <v>42145</v>
      </c>
      <c r="V621" s="4">
        <v>168.23699999999999</v>
      </c>
      <c r="W621">
        <v>8</v>
      </c>
      <c r="X621">
        <v>479.79</v>
      </c>
      <c r="Y621" s="7">
        <v>86409</v>
      </c>
    </row>
    <row r="622" spans="1:25" ht="12.75" customHeight="1">
      <c r="A622">
        <v>22480</v>
      </c>
      <c r="B622" t="s">
        <v>56</v>
      </c>
      <c r="C622" s="4">
        <v>0.08</v>
      </c>
      <c r="D622" s="8">
        <v>8.3699999999999992</v>
      </c>
      <c r="E622" s="4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 s="5">
        <v>0.59</v>
      </c>
      <c r="O622" t="s">
        <v>33</v>
      </c>
      <c r="P622" t="s">
        <v>61</v>
      </c>
      <c r="Q622" t="s">
        <v>130</v>
      </c>
      <c r="R622" t="s">
        <v>1214</v>
      </c>
      <c r="S622" s="7">
        <v>78041</v>
      </c>
      <c r="T622" s="3">
        <v>42184</v>
      </c>
      <c r="U622" s="3">
        <v>42184</v>
      </c>
      <c r="V622" s="4">
        <v>-169.232</v>
      </c>
      <c r="W622">
        <v>13</v>
      </c>
      <c r="X622">
        <v>108.99</v>
      </c>
      <c r="Y622" s="7">
        <v>86410</v>
      </c>
    </row>
    <row r="623" spans="1:25" ht="12.75" customHeight="1">
      <c r="A623">
        <v>20176</v>
      </c>
      <c r="B623" t="s">
        <v>37</v>
      </c>
      <c r="C623" s="4">
        <v>0.03</v>
      </c>
      <c r="D623" s="8">
        <v>300.98</v>
      </c>
      <c r="E623" s="4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 s="5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 s="7">
        <v>92399</v>
      </c>
      <c r="T623" s="3">
        <v>42096</v>
      </c>
      <c r="U623" s="3">
        <v>42098</v>
      </c>
      <c r="V623" s="4">
        <v>1272.5808</v>
      </c>
      <c r="W623">
        <v>12</v>
      </c>
      <c r="X623">
        <v>3527.82</v>
      </c>
      <c r="Y623" s="7">
        <v>90832</v>
      </c>
    </row>
    <row r="624" spans="1:25" ht="12.75" customHeight="1">
      <c r="A624">
        <v>20177</v>
      </c>
      <c r="B624" t="s">
        <v>37</v>
      </c>
      <c r="C624" s="4">
        <v>0.02</v>
      </c>
      <c r="D624" s="8">
        <v>2550.14</v>
      </c>
      <c r="E624" s="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 s="5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 s="7">
        <v>92399</v>
      </c>
      <c r="T624" s="3">
        <v>42096</v>
      </c>
      <c r="U624" s="3">
        <v>42098</v>
      </c>
      <c r="V624" s="4">
        <v>-5390.7388920000003</v>
      </c>
      <c r="W624">
        <v>2</v>
      </c>
      <c r="X624">
        <v>4698.21</v>
      </c>
      <c r="Y624" s="7">
        <v>90832</v>
      </c>
    </row>
    <row r="625" spans="1:25" ht="12.75" customHeight="1">
      <c r="A625">
        <v>26060</v>
      </c>
      <c r="B625" t="s">
        <v>47</v>
      </c>
      <c r="C625" s="4">
        <v>0.01</v>
      </c>
      <c r="D625" s="8">
        <v>2.89</v>
      </c>
      <c r="E625" s="4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 s="5">
        <v>0.38</v>
      </c>
      <c r="O625" t="s">
        <v>33</v>
      </c>
      <c r="P625" t="s">
        <v>34</v>
      </c>
      <c r="Q625" t="s">
        <v>255</v>
      </c>
      <c r="R625" t="s">
        <v>1219</v>
      </c>
      <c r="S625" s="7">
        <v>80004</v>
      </c>
      <c r="T625" s="3">
        <v>42100</v>
      </c>
      <c r="U625" s="3">
        <v>42101</v>
      </c>
      <c r="V625" s="4">
        <v>29.725199999999997</v>
      </c>
      <c r="W625">
        <v>14</v>
      </c>
      <c r="X625">
        <v>43.08</v>
      </c>
      <c r="Y625" s="7">
        <v>90833</v>
      </c>
    </row>
    <row r="626" spans="1:25" ht="12.75" customHeight="1">
      <c r="A626">
        <v>26061</v>
      </c>
      <c r="B626" t="s">
        <v>47</v>
      </c>
      <c r="C626" s="4">
        <v>0</v>
      </c>
      <c r="D626" s="8">
        <v>55.99</v>
      </c>
      <c r="E626" s="4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 s="5">
        <v>0.8</v>
      </c>
      <c r="O626" t="s">
        <v>33</v>
      </c>
      <c r="P626" t="s">
        <v>34</v>
      </c>
      <c r="Q626" t="s">
        <v>255</v>
      </c>
      <c r="R626" t="s">
        <v>1219</v>
      </c>
      <c r="S626" s="7">
        <v>80004</v>
      </c>
      <c r="T626" s="3">
        <v>42100</v>
      </c>
      <c r="U626" s="3">
        <v>42102</v>
      </c>
      <c r="V626" s="4">
        <v>-187.11</v>
      </c>
      <c r="W626">
        <v>5</v>
      </c>
      <c r="X626">
        <v>258.93</v>
      </c>
      <c r="Y626" s="7">
        <v>90833</v>
      </c>
    </row>
    <row r="627" spans="1:25">
      <c r="A627">
        <v>21579</v>
      </c>
      <c r="B627" t="s">
        <v>37</v>
      </c>
      <c r="C627" s="4">
        <v>0.06</v>
      </c>
      <c r="D627" s="8">
        <v>64.650000000000006</v>
      </c>
      <c r="E627" s="4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 s="5">
        <v>0.8</v>
      </c>
      <c r="O627" t="s">
        <v>33</v>
      </c>
      <c r="P627" t="s">
        <v>34</v>
      </c>
      <c r="Q627" t="s">
        <v>378</v>
      </c>
      <c r="R627" t="s">
        <v>1221</v>
      </c>
      <c r="S627" s="7">
        <v>85705</v>
      </c>
      <c r="T627" s="3">
        <v>42040</v>
      </c>
      <c r="U627" s="3">
        <v>42041</v>
      </c>
      <c r="V627" s="4">
        <v>-139.28720000000001</v>
      </c>
      <c r="W627">
        <v>4</v>
      </c>
      <c r="X627">
        <v>277.60000000000002</v>
      </c>
      <c r="Y627" s="7">
        <v>86768</v>
      </c>
    </row>
    <row r="628" spans="1:25" ht="12.75" customHeight="1">
      <c r="A628">
        <v>21329</v>
      </c>
      <c r="B628" t="s">
        <v>106</v>
      </c>
      <c r="C628" s="4">
        <v>0.04</v>
      </c>
      <c r="D628" s="8">
        <v>19.98</v>
      </c>
      <c r="E628" s="4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 s="5">
        <v>0.37</v>
      </c>
      <c r="O628" t="s">
        <v>33</v>
      </c>
      <c r="P628" t="s">
        <v>34</v>
      </c>
      <c r="Q628" t="s">
        <v>45</v>
      </c>
      <c r="R628" t="s">
        <v>1224</v>
      </c>
      <c r="S628" s="7">
        <v>92592</v>
      </c>
      <c r="T628" s="3">
        <v>42042</v>
      </c>
      <c r="U628" s="3">
        <v>42049</v>
      </c>
      <c r="V628" s="4">
        <v>108</v>
      </c>
      <c r="W628">
        <v>8</v>
      </c>
      <c r="X628">
        <v>168.04</v>
      </c>
      <c r="Y628" s="7">
        <v>86767</v>
      </c>
    </row>
    <row r="629" spans="1:25" ht="12.75" customHeight="1">
      <c r="A629">
        <v>21330</v>
      </c>
      <c r="B629" t="s">
        <v>106</v>
      </c>
      <c r="C629" s="4">
        <v>0.08</v>
      </c>
      <c r="D629" s="8">
        <v>125.99</v>
      </c>
      <c r="E629" s="4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 s="5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 s="7">
        <v>92592</v>
      </c>
      <c r="T629" s="3">
        <v>42042</v>
      </c>
      <c r="U629" s="3">
        <v>42044</v>
      </c>
      <c r="V629" s="4">
        <v>377.154</v>
      </c>
      <c r="W629">
        <v>7</v>
      </c>
      <c r="X629">
        <v>703.46</v>
      </c>
      <c r="Y629" s="7">
        <v>86767</v>
      </c>
    </row>
    <row r="630" spans="1:25" ht="12.75" customHeight="1">
      <c r="A630">
        <v>20612</v>
      </c>
      <c r="B630" t="s">
        <v>25</v>
      </c>
      <c r="C630" s="4">
        <v>0.03</v>
      </c>
      <c r="D630" s="8">
        <v>7.3</v>
      </c>
      <c r="E630" s="4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 s="5">
        <v>0.38</v>
      </c>
      <c r="O630" t="s">
        <v>33</v>
      </c>
      <c r="P630" t="s">
        <v>34</v>
      </c>
      <c r="Q630" t="s">
        <v>45</v>
      </c>
      <c r="R630" t="s">
        <v>547</v>
      </c>
      <c r="S630" s="7">
        <v>95661</v>
      </c>
      <c r="T630" s="3">
        <v>42078</v>
      </c>
      <c r="U630" s="3">
        <v>42081</v>
      </c>
      <c r="V630" s="4">
        <v>-127.05200000000001</v>
      </c>
      <c r="W630">
        <v>14</v>
      </c>
      <c r="X630">
        <v>103.61</v>
      </c>
      <c r="Y630" s="7">
        <v>87015</v>
      </c>
    </row>
    <row r="631" spans="1:25" ht="12.75" customHeight="1">
      <c r="A631">
        <v>18212</v>
      </c>
      <c r="B631" t="s">
        <v>25</v>
      </c>
      <c r="C631" s="4">
        <v>0.09</v>
      </c>
      <c r="D631" s="8">
        <v>175.99</v>
      </c>
      <c r="E631" s="4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 s="5">
        <v>0.59</v>
      </c>
      <c r="O631" t="s">
        <v>33</v>
      </c>
      <c r="P631" t="s">
        <v>34</v>
      </c>
      <c r="Q631" t="s">
        <v>45</v>
      </c>
      <c r="R631" t="s">
        <v>547</v>
      </c>
      <c r="S631" s="7">
        <v>95661</v>
      </c>
      <c r="T631" s="3">
        <v>42175</v>
      </c>
      <c r="U631" s="3">
        <v>42177</v>
      </c>
      <c r="V631" s="4">
        <v>2169.7464</v>
      </c>
      <c r="W631">
        <v>22</v>
      </c>
      <c r="X631">
        <v>3144.56</v>
      </c>
      <c r="Y631" s="7">
        <v>87016</v>
      </c>
    </row>
    <row r="632" spans="1:25" ht="12.75" customHeight="1">
      <c r="A632">
        <v>18211</v>
      </c>
      <c r="B632" t="s">
        <v>25</v>
      </c>
      <c r="C632" s="4">
        <v>0.09</v>
      </c>
      <c r="D632" s="8">
        <v>160.97999999999999</v>
      </c>
      <c r="E632" s="4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 s="5">
        <v>0.72</v>
      </c>
      <c r="O632" t="s">
        <v>33</v>
      </c>
      <c r="P632" t="s">
        <v>53</v>
      </c>
      <c r="Q632" t="s">
        <v>228</v>
      </c>
      <c r="R632" t="s">
        <v>1229</v>
      </c>
      <c r="S632" s="7">
        <v>6360</v>
      </c>
      <c r="T632" s="3">
        <v>42175</v>
      </c>
      <c r="U632" s="3">
        <v>42176</v>
      </c>
      <c r="V632" s="4">
        <v>-229.93</v>
      </c>
      <c r="W632">
        <v>18</v>
      </c>
      <c r="X632">
        <v>2653.02</v>
      </c>
      <c r="Y632" s="7">
        <v>87016</v>
      </c>
    </row>
    <row r="633" spans="1:25" ht="12.75" customHeight="1">
      <c r="A633">
        <v>22052</v>
      </c>
      <c r="B633" t="s">
        <v>56</v>
      </c>
      <c r="C633" s="4">
        <v>0.02</v>
      </c>
      <c r="D633" s="8">
        <v>4.0599999999999996</v>
      </c>
      <c r="E633" s="4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 s="5">
        <v>0.6</v>
      </c>
      <c r="O633" t="s">
        <v>33</v>
      </c>
      <c r="P633" t="s">
        <v>61</v>
      </c>
      <c r="Q633" t="s">
        <v>130</v>
      </c>
      <c r="R633" t="s">
        <v>1231</v>
      </c>
      <c r="S633" s="7">
        <v>78852</v>
      </c>
      <c r="T633" s="3">
        <v>42059</v>
      </c>
      <c r="U633" s="3">
        <v>42061</v>
      </c>
      <c r="V633" s="4">
        <v>-93.735199999999992</v>
      </c>
      <c r="W633">
        <v>16</v>
      </c>
      <c r="X633">
        <v>66.81</v>
      </c>
      <c r="Y633" s="7">
        <v>87221</v>
      </c>
    </row>
    <row r="634" spans="1:25" ht="12.75" customHeight="1">
      <c r="A634">
        <v>26377</v>
      </c>
      <c r="B634" t="s">
        <v>106</v>
      </c>
      <c r="C634" s="4">
        <v>0.04</v>
      </c>
      <c r="D634" s="8">
        <v>4.71</v>
      </c>
      <c r="E634" s="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 s="5">
        <v>0.8</v>
      </c>
      <c r="O634" t="s">
        <v>33</v>
      </c>
      <c r="P634" t="s">
        <v>61</v>
      </c>
      <c r="Q634" t="s">
        <v>130</v>
      </c>
      <c r="R634" t="s">
        <v>1231</v>
      </c>
      <c r="S634" s="7">
        <v>78852</v>
      </c>
      <c r="T634" s="3">
        <v>42177</v>
      </c>
      <c r="U634" s="3">
        <v>42181</v>
      </c>
      <c r="V634" s="4">
        <v>4.53</v>
      </c>
      <c r="W634">
        <v>19</v>
      </c>
      <c r="X634">
        <v>90.52</v>
      </c>
      <c r="Y634" s="7">
        <v>87222</v>
      </c>
    </row>
    <row r="635" spans="1:25" ht="12.75" customHeight="1">
      <c r="A635">
        <v>26378</v>
      </c>
      <c r="B635" t="s">
        <v>106</v>
      </c>
      <c r="C635" s="4">
        <v>0.06</v>
      </c>
      <c r="D635" s="8">
        <v>4.2</v>
      </c>
      <c r="E635" s="4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 s="5">
        <v>0.36</v>
      </c>
      <c r="O635" t="s">
        <v>33</v>
      </c>
      <c r="P635" t="s">
        <v>61</v>
      </c>
      <c r="Q635" t="s">
        <v>130</v>
      </c>
      <c r="R635" t="s">
        <v>1235</v>
      </c>
      <c r="S635" s="7">
        <v>78539</v>
      </c>
      <c r="T635" s="3">
        <v>42177</v>
      </c>
      <c r="U635" s="3">
        <v>42182</v>
      </c>
      <c r="V635" s="4">
        <v>9.7799999999999994</v>
      </c>
      <c r="W635">
        <v>13</v>
      </c>
      <c r="X635">
        <v>55.97</v>
      </c>
      <c r="Y635" s="7">
        <v>87222</v>
      </c>
    </row>
    <row r="636" spans="1:25" ht="12.75" customHeight="1">
      <c r="A636">
        <v>4501</v>
      </c>
      <c r="B636" t="s">
        <v>106</v>
      </c>
      <c r="C636" s="4">
        <v>0.04</v>
      </c>
      <c r="D636" s="8">
        <v>8.6</v>
      </c>
      <c r="E636" s="4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 s="5">
        <v>0.38</v>
      </c>
      <c r="O636" t="s">
        <v>33</v>
      </c>
      <c r="P636" t="s">
        <v>53</v>
      </c>
      <c r="Q636" t="s">
        <v>193</v>
      </c>
      <c r="R636" t="s">
        <v>194</v>
      </c>
      <c r="S636" s="7">
        <v>2118</v>
      </c>
      <c r="T636" s="3">
        <v>42051</v>
      </c>
      <c r="U636" s="3">
        <v>42058</v>
      </c>
      <c r="V636" s="4">
        <v>-63.813500000000005</v>
      </c>
      <c r="W636">
        <v>37</v>
      </c>
      <c r="X636">
        <v>311.66000000000003</v>
      </c>
      <c r="Y636" s="7">
        <v>32037</v>
      </c>
    </row>
    <row r="637" spans="1:25" ht="12.75" customHeight="1">
      <c r="A637">
        <v>4502</v>
      </c>
      <c r="B637" t="s">
        <v>106</v>
      </c>
      <c r="C637" s="4">
        <v>7.0000000000000007E-2</v>
      </c>
      <c r="D637" s="8">
        <v>699.99</v>
      </c>
      <c r="E637" s="4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 s="5">
        <v>0.54</v>
      </c>
      <c r="O637" t="s">
        <v>33</v>
      </c>
      <c r="P637" t="s">
        <v>53</v>
      </c>
      <c r="Q637" t="s">
        <v>193</v>
      </c>
      <c r="R637" t="s">
        <v>194</v>
      </c>
      <c r="S637" s="7">
        <v>2118</v>
      </c>
      <c r="T637" s="3">
        <v>42051</v>
      </c>
      <c r="U637" s="3">
        <v>42055</v>
      </c>
      <c r="V637" s="4">
        <v>325.29000000000002</v>
      </c>
      <c r="W637">
        <v>15</v>
      </c>
      <c r="X637">
        <v>9862.51</v>
      </c>
      <c r="Y637" s="7">
        <v>32037</v>
      </c>
    </row>
    <row r="638" spans="1:25" ht="12.75" customHeight="1">
      <c r="A638">
        <v>6891</v>
      </c>
      <c r="B638" t="s">
        <v>37</v>
      </c>
      <c r="C638" s="4">
        <v>0.05</v>
      </c>
      <c r="D638" s="8">
        <v>5.78</v>
      </c>
      <c r="E638" s="4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 s="5">
        <v>0.36</v>
      </c>
      <c r="O638" t="s">
        <v>33</v>
      </c>
      <c r="P638" t="s">
        <v>53</v>
      </c>
      <c r="Q638" t="s">
        <v>193</v>
      </c>
      <c r="R638" t="s">
        <v>194</v>
      </c>
      <c r="S638" s="7">
        <v>2118</v>
      </c>
      <c r="T638" s="3">
        <v>42092</v>
      </c>
      <c r="U638" s="3">
        <v>42094</v>
      </c>
      <c r="V638" s="4">
        <v>-116.05</v>
      </c>
      <c r="W638">
        <v>29</v>
      </c>
      <c r="X638">
        <v>177.41</v>
      </c>
      <c r="Y638" s="7">
        <v>49125</v>
      </c>
    </row>
    <row r="639" spans="1:25" ht="12.75" customHeight="1">
      <c r="A639">
        <v>1917</v>
      </c>
      <c r="B639" t="s">
        <v>56</v>
      </c>
      <c r="C639" s="4">
        <v>0.02</v>
      </c>
      <c r="D639" s="8">
        <v>7.64</v>
      </c>
      <c r="E639" s="4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 s="5">
        <v>0.36</v>
      </c>
      <c r="O639" t="s">
        <v>33</v>
      </c>
      <c r="P639" t="s">
        <v>53</v>
      </c>
      <c r="Q639" t="s">
        <v>193</v>
      </c>
      <c r="R639" t="s">
        <v>194</v>
      </c>
      <c r="S639" s="7">
        <v>2118</v>
      </c>
      <c r="T639" s="3">
        <v>42145</v>
      </c>
      <c r="U639" s="3">
        <v>42147</v>
      </c>
      <c r="V639" s="4">
        <v>117.38</v>
      </c>
      <c r="W639">
        <v>52</v>
      </c>
      <c r="X639">
        <v>406.91</v>
      </c>
      <c r="Y639" s="7">
        <v>13735</v>
      </c>
    </row>
    <row r="640" spans="1:25" ht="12.75" customHeight="1">
      <c r="A640">
        <v>5568</v>
      </c>
      <c r="B640" t="s">
        <v>106</v>
      </c>
      <c r="C640" s="4">
        <v>0.03</v>
      </c>
      <c r="D640" s="8">
        <v>30.98</v>
      </c>
      <c r="E640" s="4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 s="5">
        <v>0.79</v>
      </c>
      <c r="O640" t="s">
        <v>33</v>
      </c>
      <c r="P640" t="s">
        <v>53</v>
      </c>
      <c r="Q640" t="s">
        <v>193</v>
      </c>
      <c r="R640" t="s">
        <v>194</v>
      </c>
      <c r="S640" s="7">
        <v>2118</v>
      </c>
      <c r="T640" s="3">
        <v>42168</v>
      </c>
      <c r="U640" s="3">
        <v>42172</v>
      </c>
      <c r="V640" s="4">
        <v>-144.19999999999999</v>
      </c>
      <c r="W640">
        <v>44</v>
      </c>
      <c r="X640">
        <v>1332.09</v>
      </c>
      <c r="Y640" s="7">
        <v>39430</v>
      </c>
    </row>
    <row r="641" spans="1:25" ht="12.75" customHeight="1">
      <c r="A641">
        <v>8099</v>
      </c>
      <c r="B641" t="s">
        <v>106</v>
      </c>
      <c r="C641" s="4">
        <v>0.02</v>
      </c>
      <c r="D641" s="8">
        <v>4.9800000000000004</v>
      </c>
      <c r="E641" s="4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 s="5">
        <v>0.36</v>
      </c>
      <c r="O641" t="s">
        <v>33</v>
      </c>
      <c r="P641" t="s">
        <v>53</v>
      </c>
      <c r="Q641" t="s">
        <v>193</v>
      </c>
      <c r="R641" t="s">
        <v>194</v>
      </c>
      <c r="S641" s="7">
        <v>2118</v>
      </c>
      <c r="T641" s="3">
        <v>42030</v>
      </c>
      <c r="U641" s="3">
        <v>42032</v>
      </c>
      <c r="V641" s="4">
        <v>-46.92</v>
      </c>
      <c r="W641">
        <v>19</v>
      </c>
      <c r="X641">
        <v>105.5</v>
      </c>
      <c r="Y641" s="7">
        <v>57794</v>
      </c>
    </row>
    <row r="642" spans="1:25" ht="12.75" customHeight="1">
      <c r="A642">
        <v>19917</v>
      </c>
      <c r="B642" t="s">
        <v>56</v>
      </c>
      <c r="C642" s="4">
        <v>0.02</v>
      </c>
      <c r="D642" s="8">
        <v>7.64</v>
      </c>
      <c r="E642" s="4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 s="5">
        <v>0.36</v>
      </c>
      <c r="O642" t="s">
        <v>33</v>
      </c>
      <c r="P642" t="s">
        <v>61</v>
      </c>
      <c r="Q642" t="s">
        <v>130</v>
      </c>
      <c r="R642" t="s">
        <v>1242</v>
      </c>
      <c r="S642" s="7">
        <v>79907</v>
      </c>
      <c r="T642" s="3">
        <v>42145</v>
      </c>
      <c r="U642" s="3">
        <v>42147</v>
      </c>
      <c r="V642" s="4">
        <v>70.193699999999993</v>
      </c>
      <c r="W642">
        <v>13</v>
      </c>
      <c r="X642">
        <v>101.73</v>
      </c>
      <c r="Y642" s="7">
        <v>88103</v>
      </c>
    </row>
    <row r="643" spans="1:25" ht="12.75" customHeight="1">
      <c r="A643">
        <v>23860</v>
      </c>
      <c r="B643" t="s">
        <v>56</v>
      </c>
      <c r="C643" s="4">
        <v>0.06</v>
      </c>
      <c r="D643" s="8">
        <v>6.37</v>
      </c>
      <c r="E643" s="4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 s="5">
        <v>0.38</v>
      </c>
      <c r="O643" t="s">
        <v>33</v>
      </c>
      <c r="P643" t="s">
        <v>61</v>
      </c>
      <c r="Q643" t="s">
        <v>130</v>
      </c>
      <c r="R643" t="s">
        <v>1244</v>
      </c>
      <c r="S643" s="7">
        <v>76039</v>
      </c>
      <c r="T643" s="3">
        <v>42045</v>
      </c>
      <c r="U643" s="3">
        <v>42046</v>
      </c>
      <c r="V643" s="4">
        <v>-48.219499999999996</v>
      </c>
      <c r="W643">
        <v>6</v>
      </c>
      <c r="X643">
        <v>37.700000000000003</v>
      </c>
      <c r="Y643" s="7">
        <v>88101</v>
      </c>
    </row>
    <row r="644" spans="1:25" ht="12.75" customHeight="1">
      <c r="A644">
        <v>22501</v>
      </c>
      <c r="B644" t="s">
        <v>106</v>
      </c>
      <c r="C644" s="4">
        <v>0.04</v>
      </c>
      <c r="D644" s="8">
        <v>8.6</v>
      </c>
      <c r="E644" s="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 s="5">
        <v>0.38</v>
      </c>
      <c r="O644" t="s">
        <v>33</v>
      </c>
      <c r="P644" t="s">
        <v>61</v>
      </c>
      <c r="Q644" t="s">
        <v>130</v>
      </c>
      <c r="R644" t="s">
        <v>1244</v>
      </c>
      <c r="S644" s="7">
        <v>76039</v>
      </c>
      <c r="T644" s="3">
        <v>42051</v>
      </c>
      <c r="U644" s="3">
        <v>42058</v>
      </c>
      <c r="V644" s="4">
        <v>-63.813500000000005</v>
      </c>
      <c r="W644">
        <v>9</v>
      </c>
      <c r="X644">
        <v>75.81</v>
      </c>
      <c r="Y644" s="7">
        <v>88102</v>
      </c>
    </row>
    <row r="645" spans="1:25" ht="12.75" customHeight="1">
      <c r="A645">
        <v>22502</v>
      </c>
      <c r="B645" t="s">
        <v>106</v>
      </c>
      <c r="C645" s="4">
        <v>7.0000000000000007E-2</v>
      </c>
      <c r="D645" s="8">
        <v>699.99</v>
      </c>
      <c r="E645" s="4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 s="5">
        <v>0.54</v>
      </c>
      <c r="O645" t="s">
        <v>33</v>
      </c>
      <c r="P645" t="s">
        <v>61</v>
      </c>
      <c r="Q645" t="s">
        <v>130</v>
      </c>
      <c r="R645" t="s">
        <v>1244</v>
      </c>
      <c r="S645" s="7">
        <v>76039</v>
      </c>
      <c r="T645" s="3">
        <v>42051</v>
      </c>
      <c r="U645" s="3">
        <v>42055</v>
      </c>
      <c r="V645" s="4">
        <v>325.29000000000002</v>
      </c>
      <c r="W645">
        <v>4</v>
      </c>
      <c r="X645">
        <v>2630</v>
      </c>
      <c r="Y645" s="7">
        <v>88102</v>
      </c>
    </row>
    <row r="646" spans="1:25" ht="12.75" customHeight="1">
      <c r="A646">
        <v>23568</v>
      </c>
      <c r="B646" t="s">
        <v>106</v>
      </c>
      <c r="C646" s="4">
        <v>0.03</v>
      </c>
      <c r="D646" s="8">
        <v>30.98</v>
      </c>
      <c r="E646" s="4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 s="5">
        <v>0.79</v>
      </c>
      <c r="O646" t="s">
        <v>33</v>
      </c>
      <c r="P646" t="s">
        <v>61</v>
      </c>
      <c r="Q646" t="s">
        <v>130</v>
      </c>
      <c r="R646" t="s">
        <v>1244</v>
      </c>
      <c r="S646" s="7">
        <v>76039</v>
      </c>
      <c r="T646" s="3">
        <v>42168</v>
      </c>
      <c r="U646" s="3">
        <v>42172</v>
      </c>
      <c r="V646" s="4">
        <v>-115.35999999999999</v>
      </c>
      <c r="W646">
        <v>11</v>
      </c>
      <c r="X646">
        <v>333.02</v>
      </c>
      <c r="Y646" s="7">
        <v>88104</v>
      </c>
    </row>
    <row r="647" spans="1:25" ht="12.75" customHeight="1">
      <c r="A647">
        <v>26099</v>
      </c>
      <c r="B647" t="s">
        <v>106</v>
      </c>
      <c r="C647" s="4">
        <v>0.02</v>
      </c>
      <c r="D647" s="8">
        <v>4.9800000000000004</v>
      </c>
      <c r="E647" s="4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 s="5">
        <v>0.36</v>
      </c>
      <c r="O647" t="s">
        <v>33</v>
      </c>
      <c r="P647" t="s">
        <v>61</v>
      </c>
      <c r="Q647" t="s">
        <v>130</v>
      </c>
      <c r="R647" t="s">
        <v>1246</v>
      </c>
      <c r="S647" s="7">
        <v>75234</v>
      </c>
      <c r="T647" s="3">
        <v>42030</v>
      </c>
      <c r="U647" s="3">
        <v>42032</v>
      </c>
      <c r="V647" s="4">
        <v>-46.92</v>
      </c>
      <c r="W647">
        <v>5</v>
      </c>
      <c r="X647">
        <v>27.76</v>
      </c>
      <c r="Y647" s="7">
        <v>88105</v>
      </c>
    </row>
    <row r="648" spans="1:25" ht="12.75" customHeight="1">
      <c r="A648">
        <v>22119</v>
      </c>
      <c r="B648" t="s">
        <v>25</v>
      </c>
      <c r="C648" s="4">
        <v>0.09</v>
      </c>
      <c r="D648" s="8">
        <v>270.97000000000003</v>
      </c>
      <c r="E648" s="4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 s="5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 s="7">
        <v>60188</v>
      </c>
      <c r="T648" s="3">
        <v>42006</v>
      </c>
      <c r="U648" s="3">
        <v>42008</v>
      </c>
      <c r="V648" s="4">
        <v>2660.1432</v>
      </c>
      <c r="W648">
        <v>15</v>
      </c>
      <c r="X648">
        <v>3855.28</v>
      </c>
      <c r="Y648" s="7">
        <v>87940</v>
      </c>
    </row>
    <row r="649" spans="1:25" ht="12.75" customHeight="1">
      <c r="A649">
        <v>19357</v>
      </c>
      <c r="B649" t="s">
        <v>56</v>
      </c>
      <c r="C649" s="4">
        <v>0.02</v>
      </c>
      <c r="D649" s="8">
        <v>160.97999999999999</v>
      </c>
      <c r="E649" s="4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 s="5">
        <v>0.62</v>
      </c>
      <c r="O649" t="s">
        <v>33</v>
      </c>
      <c r="P649" t="s">
        <v>61</v>
      </c>
      <c r="Q649" t="s">
        <v>130</v>
      </c>
      <c r="R649" t="s">
        <v>1251</v>
      </c>
      <c r="S649" s="7">
        <v>75056</v>
      </c>
      <c r="T649" s="3">
        <v>42051</v>
      </c>
      <c r="U649" s="3">
        <v>42054</v>
      </c>
      <c r="V649" s="4">
        <v>-51.116</v>
      </c>
      <c r="W649">
        <v>1</v>
      </c>
      <c r="X649">
        <v>192.49</v>
      </c>
      <c r="Y649" s="7">
        <v>86574</v>
      </c>
    </row>
    <row r="650" spans="1:25" ht="12.75" customHeight="1">
      <c r="A650">
        <v>25467</v>
      </c>
      <c r="B650" t="s">
        <v>56</v>
      </c>
      <c r="C650" s="4">
        <v>0.05</v>
      </c>
      <c r="D650" s="8">
        <v>363.25</v>
      </c>
      <c r="E650" s="4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 s="5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 s="7">
        <v>76706</v>
      </c>
      <c r="T650" s="3">
        <v>42008</v>
      </c>
      <c r="U650" s="3">
        <v>42010</v>
      </c>
      <c r="V650" s="4">
        <v>1766.7795000000001</v>
      </c>
      <c r="W650">
        <v>7</v>
      </c>
      <c r="X650">
        <v>2560.5500000000002</v>
      </c>
      <c r="Y650" s="7">
        <v>86573</v>
      </c>
    </row>
    <row r="651" spans="1:25" ht="12.75" customHeight="1">
      <c r="A651">
        <v>24539</v>
      </c>
      <c r="B651" t="s">
        <v>56</v>
      </c>
      <c r="C651" s="4">
        <v>0.01</v>
      </c>
      <c r="D651" s="8">
        <v>18.97</v>
      </c>
      <c r="E651" s="4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 s="5">
        <v>0.37</v>
      </c>
      <c r="O651" t="s">
        <v>33</v>
      </c>
      <c r="P651" t="s">
        <v>61</v>
      </c>
      <c r="Q651" t="s">
        <v>130</v>
      </c>
      <c r="R651" t="s">
        <v>1254</v>
      </c>
      <c r="S651" s="7">
        <v>76706</v>
      </c>
      <c r="T651" s="3">
        <v>42161</v>
      </c>
      <c r="U651" s="3">
        <v>42164</v>
      </c>
      <c r="V651" s="4">
        <v>85.875</v>
      </c>
      <c r="W651">
        <v>11</v>
      </c>
      <c r="X651">
        <v>227.67</v>
      </c>
      <c r="Y651" s="7">
        <v>86575</v>
      </c>
    </row>
    <row r="652" spans="1:25" ht="12.75" customHeight="1">
      <c r="A652">
        <v>25179</v>
      </c>
      <c r="B652" t="s">
        <v>106</v>
      </c>
      <c r="C652" s="4">
        <v>0.05</v>
      </c>
      <c r="D652" s="8">
        <v>7.59</v>
      </c>
      <c r="E652" s="4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 s="5">
        <v>0.42</v>
      </c>
      <c r="O652" t="s">
        <v>33</v>
      </c>
      <c r="P652" t="s">
        <v>53</v>
      </c>
      <c r="Q652" t="s">
        <v>193</v>
      </c>
      <c r="R652" t="s">
        <v>1256</v>
      </c>
      <c r="S652" s="7">
        <v>1075</v>
      </c>
      <c r="T652" s="3">
        <v>42164</v>
      </c>
      <c r="U652" s="3">
        <v>42164</v>
      </c>
      <c r="V652" s="4">
        <v>6.0926999999999998</v>
      </c>
      <c r="W652">
        <v>1</v>
      </c>
      <c r="X652">
        <v>8.83</v>
      </c>
      <c r="Y652" s="7">
        <v>91344</v>
      </c>
    </row>
    <row r="653" spans="1:25" ht="12.75" customHeight="1">
      <c r="A653">
        <v>24224</v>
      </c>
      <c r="B653" t="s">
        <v>47</v>
      </c>
      <c r="C653" s="4">
        <v>0.09</v>
      </c>
      <c r="D653" s="8">
        <v>9.11</v>
      </c>
      <c r="E653" s="4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 s="5">
        <v>0.4</v>
      </c>
      <c r="O653" t="s">
        <v>33</v>
      </c>
      <c r="P653" t="s">
        <v>34</v>
      </c>
      <c r="Q653" t="s">
        <v>45</v>
      </c>
      <c r="R653" t="s">
        <v>1259</v>
      </c>
      <c r="S653" s="7">
        <v>90640</v>
      </c>
      <c r="T653" s="3">
        <v>42006</v>
      </c>
      <c r="U653" s="3">
        <v>42008</v>
      </c>
      <c r="V653" s="4">
        <v>20.299600000000002</v>
      </c>
      <c r="W653">
        <v>4</v>
      </c>
      <c r="X653">
        <v>34.409999999999997</v>
      </c>
      <c r="Y653" s="7">
        <v>90853</v>
      </c>
    </row>
    <row r="654" spans="1:25" ht="12.75" customHeight="1">
      <c r="A654">
        <v>24225</v>
      </c>
      <c r="B654" t="s">
        <v>47</v>
      </c>
      <c r="C654" s="4">
        <v>0.08</v>
      </c>
      <c r="D654" s="8">
        <v>15.04</v>
      </c>
      <c r="E654" s="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 s="5">
        <v>0.39</v>
      </c>
      <c r="O654" t="s">
        <v>33</v>
      </c>
      <c r="P654" t="s">
        <v>34</v>
      </c>
      <c r="Q654" t="s">
        <v>45</v>
      </c>
      <c r="R654" t="s">
        <v>1259</v>
      </c>
      <c r="S654" s="7">
        <v>90640</v>
      </c>
      <c r="T654" s="3">
        <v>42006</v>
      </c>
      <c r="U654" s="3">
        <v>42006</v>
      </c>
      <c r="V654" s="4">
        <v>108.5163</v>
      </c>
      <c r="W654">
        <v>11</v>
      </c>
      <c r="X654">
        <v>157.27000000000001</v>
      </c>
      <c r="Y654" s="7">
        <v>90853</v>
      </c>
    </row>
    <row r="655" spans="1:25" ht="12.75" customHeight="1">
      <c r="A655">
        <v>20212</v>
      </c>
      <c r="B655" t="s">
        <v>25</v>
      </c>
      <c r="C655" s="4">
        <v>0.06</v>
      </c>
      <c r="D655" s="8">
        <v>175.99</v>
      </c>
      <c r="E655" s="4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 s="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 s="7">
        <v>1876</v>
      </c>
      <c r="T655" s="3">
        <v>42049</v>
      </c>
      <c r="U655" s="3">
        <v>42050</v>
      </c>
      <c r="V655" s="4">
        <v>48.47148</v>
      </c>
      <c r="W655">
        <v>7</v>
      </c>
      <c r="X655">
        <v>1013.84</v>
      </c>
      <c r="Y655" s="7">
        <v>90855</v>
      </c>
    </row>
    <row r="656" spans="1:25" ht="12.75" customHeight="1">
      <c r="A656">
        <v>20897</v>
      </c>
      <c r="B656" t="s">
        <v>25</v>
      </c>
      <c r="C656" s="4">
        <v>0.04</v>
      </c>
      <c r="D656" s="8">
        <v>100.98</v>
      </c>
      <c r="E656" s="4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 s="5">
        <v>0.62</v>
      </c>
      <c r="O656" t="s">
        <v>33</v>
      </c>
      <c r="P656" t="s">
        <v>53</v>
      </c>
      <c r="Q656" t="s">
        <v>54</v>
      </c>
      <c r="R656" t="s">
        <v>1263</v>
      </c>
      <c r="S656" s="7">
        <v>7086</v>
      </c>
      <c r="T656" s="3">
        <v>42144</v>
      </c>
      <c r="U656" s="3">
        <v>42145</v>
      </c>
      <c r="V656" s="4">
        <v>-152.76</v>
      </c>
      <c r="W656">
        <v>1</v>
      </c>
      <c r="X656">
        <v>110.75</v>
      </c>
      <c r="Y656" s="7">
        <v>90854</v>
      </c>
    </row>
    <row r="657" spans="1:25" ht="12.75" customHeight="1">
      <c r="A657">
        <v>18860</v>
      </c>
      <c r="B657" t="s">
        <v>37</v>
      </c>
      <c r="C657" s="4">
        <v>0.09</v>
      </c>
      <c r="D657" s="8">
        <v>9.7799999999999994</v>
      </c>
      <c r="E657" s="4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 s="5">
        <v>0.39</v>
      </c>
      <c r="O657" t="s">
        <v>33</v>
      </c>
      <c r="P657" t="s">
        <v>53</v>
      </c>
      <c r="Q657" t="s">
        <v>1149</v>
      </c>
      <c r="R657" t="s">
        <v>401</v>
      </c>
      <c r="S657" s="7">
        <v>19711</v>
      </c>
      <c r="T657" s="3">
        <v>42157</v>
      </c>
      <c r="U657" s="3">
        <v>42158</v>
      </c>
      <c r="V657" s="4">
        <v>125.20739999999999</v>
      </c>
      <c r="W657">
        <v>19</v>
      </c>
      <c r="X657">
        <v>181.46</v>
      </c>
      <c r="Y657" s="7">
        <v>87520</v>
      </c>
    </row>
    <row r="658" spans="1:25" ht="12.75" customHeight="1">
      <c r="A658">
        <v>18861</v>
      </c>
      <c r="B658" t="s">
        <v>37</v>
      </c>
      <c r="C658" s="4">
        <v>0</v>
      </c>
      <c r="D658" s="8">
        <v>200.99</v>
      </c>
      <c r="E658" s="4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 s="5">
        <v>0.59</v>
      </c>
      <c r="O658" t="s">
        <v>33</v>
      </c>
      <c r="P658" t="s">
        <v>53</v>
      </c>
      <c r="Q658" t="s">
        <v>1149</v>
      </c>
      <c r="R658" t="s">
        <v>401</v>
      </c>
      <c r="S658" s="7">
        <v>19711</v>
      </c>
      <c r="T658" s="3">
        <v>42157</v>
      </c>
      <c r="U658" s="3">
        <v>42159</v>
      </c>
      <c r="V658" s="4">
        <v>281.53440000000001</v>
      </c>
      <c r="W658">
        <v>6</v>
      </c>
      <c r="X658">
        <v>1076.3</v>
      </c>
      <c r="Y658" s="7">
        <v>87520</v>
      </c>
    </row>
    <row r="659" spans="1:25" ht="12.75" customHeight="1">
      <c r="A659">
        <v>19182</v>
      </c>
      <c r="B659" t="s">
        <v>25</v>
      </c>
      <c r="C659" s="4">
        <v>0.03</v>
      </c>
      <c r="D659" s="8">
        <v>4.4800000000000004</v>
      </c>
      <c r="E659" s="4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 s="5">
        <v>0.6</v>
      </c>
      <c r="O659" t="s">
        <v>33</v>
      </c>
      <c r="P659" t="s">
        <v>136</v>
      </c>
      <c r="Q659" t="s">
        <v>362</v>
      </c>
      <c r="R659" t="s">
        <v>1268</v>
      </c>
      <c r="S659" s="7">
        <v>32701</v>
      </c>
      <c r="T659" s="3">
        <v>42103</v>
      </c>
      <c r="U659" s="3">
        <v>42105</v>
      </c>
      <c r="V659" s="4">
        <v>64.265999999999991</v>
      </c>
      <c r="W659">
        <v>2</v>
      </c>
      <c r="X659">
        <v>21.46</v>
      </c>
      <c r="Y659" s="7">
        <v>89787</v>
      </c>
    </row>
    <row r="660" spans="1:25" ht="12.75" customHeight="1">
      <c r="A660">
        <v>19183</v>
      </c>
      <c r="B660" t="s">
        <v>25</v>
      </c>
      <c r="C660" s="4">
        <v>0.06</v>
      </c>
      <c r="D660" s="8">
        <v>350.99</v>
      </c>
      <c r="E660" s="4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 s="5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 s="7">
        <v>32701</v>
      </c>
      <c r="T660" s="3">
        <v>42103</v>
      </c>
      <c r="U660" s="3">
        <v>42105</v>
      </c>
      <c r="V660" s="4">
        <v>-302.61559999999997</v>
      </c>
      <c r="W660">
        <v>10</v>
      </c>
      <c r="X660">
        <v>3506.78</v>
      </c>
      <c r="Y660" s="7">
        <v>89787</v>
      </c>
    </row>
    <row r="661" spans="1:25" ht="12.75" customHeight="1">
      <c r="A661">
        <v>19184</v>
      </c>
      <c r="B661" t="s">
        <v>25</v>
      </c>
      <c r="C661" s="4">
        <v>0.09</v>
      </c>
      <c r="D661" s="8">
        <v>40.98</v>
      </c>
      <c r="E661" s="4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 s="5">
        <v>0.74</v>
      </c>
      <c r="O661" t="s">
        <v>33</v>
      </c>
      <c r="P661" t="s">
        <v>136</v>
      </c>
      <c r="Q661" t="s">
        <v>362</v>
      </c>
      <c r="R661" t="s">
        <v>1268</v>
      </c>
      <c r="S661" s="7">
        <v>32701</v>
      </c>
      <c r="T661" s="3">
        <v>42103</v>
      </c>
      <c r="U661" s="3">
        <v>42105</v>
      </c>
      <c r="V661" s="4">
        <v>5.6916000000000002</v>
      </c>
      <c r="W661">
        <v>7</v>
      </c>
      <c r="X661">
        <v>267.69</v>
      </c>
      <c r="Y661" s="7">
        <v>89787</v>
      </c>
    </row>
    <row r="662" spans="1:25" ht="12.75" customHeight="1">
      <c r="A662">
        <v>19185</v>
      </c>
      <c r="B662" t="s">
        <v>25</v>
      </c>
      <c r="C662" s="4">
        <v>0.09</v>
      </c>
      <c r="D662" s="8">
        <v>349.45</v>
      </c>
      <c r="E662" s="4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 s="7">
        <v>32701</v>
      </c>
      <c r="T662" s="3">
        <v>42103</v>
      </c>
      <c r="U662" s="3">
        <v>42104</v>
      </c>
      <c r="V662" s="4">
        <v>-369.10999999999996</v>
      </c>
      <c r="W662">
        <v>7</v>
      </c>
      <c r="X662">
        <v>2307.2600000000002</v>
      </c>
      <c r="Y662" s="7">
        <v>89787</v>
      </c>
    </row>
    <row r="663" spans="1:25" ht="12.75" customHeight="1">
      <c r="A663">
        <v>19484</v>
      </c>
      <c r="B663" t="s">
        <v>25</v>
      </c>
      <c r="C663" s="4">
        <v>7.0000000000000007E-2</v>
      </c>
      <c r="D663" s="8">
        <v>2.61</v>
      </c>
      <c r="E663" s="4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 s="5">
        <v>0.39</v>
      </c>
      <c r="O663" t="s">
        <v>33</v>
      </c>
      <c r="P663" t="s">
        <v>34</v>
      </c>
      <c r="Q663" t="s">
        <v>212</v>
      </c>
      <c r="R663" t="s">
        <v>1272</v>
      </c>
      <c r="S663" s="7">
        <v>84660</v>
      </c>
      <c r="T663" s="3">
        <v>42147</v>
      </c>
      <c r="U663" s="3">
        <v>42147</v>
      </c>
      <c r="V663" s="4">
        <v>27.013499999999997</v>
      </c>
      <c r="W663">
        <v>15</v>
      </c>
      <c r="X663">
        <v>39.15</v>
      </c>
      <c r="Y663" s="7">
        <v>86913</v>
      </c>
    </row>
    <row r="664" spans="1:25" ht="12.75" customHeight="1">
      <c r="A664">
        <v>21522</v>
      </c>
      <c r="B664" t="s">
        <v>37</v>
      </c>
      <c r="C664" s="4">
        <v>0.04</v>
      </c>
      <c r="D664" s="8">
        <v>35.99</v>
      </c>
      <c r="E664" s="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 s="5">
        <v>0.39</v>
      </c>
      <c r="O664" t="s">
        <v>33</v>
      </c>
      <c r="P664" t="s">
        <v>34</v>
      </c>
      <c r="Q664" t="s">
        <v>212</v>
      </c>
      <c r="R664" t="s">
        <v>1275</v>
      </c>
      <c r="S664" s="7">
        <v>84663</v>
      </c>
      <c r="T664" s="3">
        <v>42184</v>
      </c>
      <c r="U664" s="3">
        <v>42184</v>
      </c>
      <c r="V664" s="4">
        <v>184.19549999999998</v>
      </c>
      <c r="W664">
        <v>9</v>
      </c>
      <c r="X664">
        <v>266.95</v>
      </c>
      <c r="Y664" s="7">
        <v>86914</v>
      </c>
    </row>
    <row r="665" spans="1:25" ht="12.75" customHeight="1">
      <c r="A665">
        <v>22190</v>
      </c>
      <c r="B665" t="s">
        <v>56</v>
      </c>
      <c r="C665" s="4">
        <v>0</v>
      </c>
      <c r="D665" s="8">
        <v>6783.02</v>
      </c>
      <c r="E665" s="4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 s="5">
        <v>0.39</v>
      </c>
      <c r="O665" t="s">
        <v>33</v>
      </c>
      <c r="P665" t="s">
        <v>136</v>
      </c>
      <c r="Q665" t="s">
        <v>1278</v>
      </c>
      <c r="R665" t="s">
        <v>1279</v>
      </c>
      <c r="S665" s="7">
        <v>35756</v>
      </c>
      <c r="T665" s="3">
        <v>42084</v>
      </c>
      <c r="U665" s="3">
        <v>42085</v>
      </c>
      <c r="V665" s="4">
        <v>4.1099999999999994</v>
      </c>
      <c r="W665">
        <v>3</v>
      </c>
      <c r="X665">
        <v>20552.55</v>
      </c>
      <c r="Y665" s="7">
        <v>85938</v>
      </c>
    </row>
    <row r="666" spans="1:25" ht="12.75" customHeight="1">
      <c r="A666">
        <v>20764</v>
      </c>
      <c r="B666" t="s">
        <v>37</v>
      </c>
      <c r="C666" s="4">
        <v>0.08</v>
      </c>
      <c r="D666" s="8">
        <v>11.7</v>
      </c>
      <c r="E666" s="4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 s="5">
        <v>0.5</v>
      </c>
      <c r="O666" t="s">
        <v>33</v>
      </c>
      <c r="P666" t="s">
        <v>136</v>
      </c>
      <c r="Q666" t="s">
        <v>1278</v>
      </c>
      <c r="R666" t="s">
        <v>1279</v>
      </c>
      <c r="S666" s="7">
        <v>35756</v>
      </c>
      <c r="T666" s="3">
        <v>42104</v>
      </c>
      <c r="U666" s="3">
        <v>42107</v>
      </c>
      <c r="V666" s="4">
        <v>28.565999999999999</v>
      </c>
      <c r="W666">
        <v>8</v>
      </c>
      <c r="X666">
        <v>87.8</v>
      </c>
      <c r="Y666" s="7">
        <v>85940</v>
      </c>
    </row>
    <row r="667" spans="1:25" ht="12.75" customHeight="1">
      <c r="A667">
        <v>24358</v>
      </c>
      <c r="B667" t="s">
        <v>47</v>
      </c>
      <c r="C667" s="4">
        <v>7.0000000000000007E-2</v>
      </c>
      <c r="D667" s="8">
        <v>400.97</v>
      </c>
      <c r="E667" s="4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 s="5">
        <v>0.36</v>
      </c>
      <c r="O667" t="s">
        <v>33</v>
      </c>
      <c r="P667" t="s">
        <v>34</v>
      </c>
      <c r="Q667" t="s">
        <v>45</v>
      </c>
      <c r="R667" t="s">
        <v>1283</v>
      </c>
      <c r="S667" s="7">
        <v>92646</v>
      </c>
      <c r="T667" s="3">
        <v>42103</v>
      </c>
      <c r="U667" s="3">
        <v>42104</v>
      </c>
      <c r="V667" s="4">
        <v>2581.5590999999995</v>
      </c>
      <c r="W667">
        <v>10</v>
      </c>
      <c r="X667">
        <v>3741.39</v>
      </c>
      <c r="Y667" s="7">
        <v>85939</v>
      </c>
    </row>
    <row r="668" spans="1:25" ht="12.75" customHeight="1">
      <c r="A668">
        <v>18829</v>
      </c>
      <c r="B668" t="s">
        <v>106</v>
      </c>
      <c r="C668" s="4">
        <v>0.06</v>
      </c>
      <c r="D668" s="8">
        <v>10.89</v>
      </c>
      <c r="E668" s="4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 s="5">
        <v>0.59</v>
      </c>
      <c r="O668" t="s">
        <v>33</v>
      </c>
      <c r="P668" t="s">
        <v>34</v>
      </c>
      <c r="Q668" t="s">
        <v>45</v>
      </c>
      <c r="R668" t="s">
        <v>1283</v>
      </c>
      <c r="S668" s="7">
        <v>92646</v>
      </c>
      <c r="T668" s="3">
        <v>42172</v>
      </c>
      <c r="U668" s="3">
        <v>42177</v>
      </c>
      <c r="V668" s="4">
        <v>-25.112000000000002</v>
      </c>
      <c r="W668">
        <v>14</v>
      </c>
      <c r="X668">
        <v>149.32</v>
      </c>
      <c r="Y668" s="7">
        <v>87584</v>
      </c>
    </row>
    <row r="669" spans="1:25" ht="12.75" customHeight="1">
      <c r="A669">
        <v>18830</v>
      </c>
      <c r="B669" t="s">
        <v>106</v>
      </c>
      <c r="C669" s="4">
        <v>0.03</v>
      </c>
      <c r="D669" s="8">
        <v>10.64</v>
      </c>
      <c r="E669" s="4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 s="5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 s="7">
        <v>92646</v>
      </c>
      <c r="T669" s="3">
        <v>42172</v>
      </c>
      <c r="U669" s="3">
        <v>42177</v>
      </c>
      <c r="V669" s="4">
        <v>17.376000000000001</v>
      </c>
      <c r="W669">
        <v>16</v>
      </c>
      <c r="X669">
        <v>177.01</v>
      </c>
      <c r="Y669" s="7">
        <v>87584</v>
      </c>
    </row>
    <row r="670" spans="1:25" ht="12.75" customHeight="1">
      <c r="A670">
        <v>18831</v>
      </c>
      <c r="B670" t="s">
        <v>106</v>
      </c>
      <c r="C670" s="4">
        <v>0.03</v>
      </c>
      <c r="D670" s="8">
        <v>7.96</v>
      </c>
      <c r="E670" s="4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 s="5">
        <v>0.41</v>
      </c>
      <c r="O670" t="s">
        <v>33</v>
      </c>
      <c r="P670" t="s">
        <v>34</v>
      </c>
      <c r="Q670" t="s">
        <v>45</v>
      </c>
      <c r="R670" t="s">
        <v>1283</v>
      </c>
      <c r="S670" s="7">
        <v>92646</v>
      </c>
      <c r="T670" s="3">
        <v>42172</v>
      </c>
      <c r="U670" s="3">
        <v>42174</v>
      </c>
      <c r="V670" s="4">
        <v>24.260399999999997</v>
      </c>
      <c r="W670">
        <v>4</v>
      </c>
      <c r="X670">
        <v>35.159999999999997</v>
      </c>
      <c r="Y670" s="7">
        <v>87584</v>
      </c>
    </row>
    <row r="671" spans="1:25" ht="12.75" customHeight="1">
      <c r="A671">
        <v>19553</v>
      </c>
      <c r="B671" t="s">
        <v>106</v>
      </c>
      <c r="C671" s="4">
        <v>0.03</v>
      </c>
      <c r="D671" s="8">
        <v>28.53</v>
      </c>
      <c r="E671" s="4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 s="5">
        <v>0.38</v>
      </c>
      <c r="O671" t="s">
        <v>33</v>
      </c>
      <c r="P671" t="s">
        <v>53</v>
      </c>
      <c r="Q671" t="s">
        <v>228</v>
      </c>
      <c r="R671" t="s">
        <v>1287</v>
      </c>
      <c r="S671" s="7">
        <v>6050</v>
      </c>
      <c r="T671" s="3">
        <v>42183</v>
      </c>
      <c r="U671" s="3">
        <v>42186</v>
      </c>
      <c r="V671" s="4">
        <v>59.440499999999993</v>
      </c>
      <c r="W671">
        <v>3</v>
      </c>
      <c r="X671">
        <v>88.84</v>
      </c>
      <c r="Y671" s="7">
        <v>87587</v>
      </c>
    </row>
    <row r="672" spans="1:25" ht="12.75" customHeight="1">
      <c r="A672">
        <v>830</v>
      </c>
      <c r="B672" t="s">
        <v>106</v>
      </c>
      <c r="C672" s="4">
        <v>0.03</v>
      </c>
      <c r="D672" s="8">
        <v>10.64</v>
      </c>
      <c r="E672" s="4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 s="5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 s="7">
        <v>20016</v>
      </c>
      <c r="T672" s="3">
        <v>42172</v>
      </c>
      <c r="U672" s="3">
        <v>42177</v>
      </c>
      <c r="V672" s="4">
        <v>14.48</v>
      </c>
      <c r="W672">
        <v>63</v>
      </c>
      <c r="X672">
        <v>696.96</v>
      </c>
      <c r="Y672" s="7">
        <v>5984</v>
      </c>
    </row>
    <row r="673" spans="1:25" ht="12.75" customHeight="1">
      <c r="A673">
        <v>831</v>
      </c>
      <c r="B673" t="s">
        <v>106</v>
      </c>
      <c r="C673" s="4">
        <v>0.03</v>
      </c>
      <c r="D673" s="8">
        <v>7.96</v>
      </c>
      <c r="E673" s="4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 s="5">
        <v>0.41</v>
      </c>
      <c r="O673" t="s">
        <v>33</v>
      </c>
      <c r="P673" t="s">
        <v>53</v>
      </c>
      <c r="Q673" t="s">
        <v>1008</v>
      </c>
      <c r="R673" t="s">
        <v>35</v>
      </c>
      <c r="S673" s="7">
        <v>20016</v>
      </c>
      <c r="T673" s="3">
        <v>42172</v>
      </c>
      <c r="U673" s="3">
        <v>42174</v>
      </c>
      <c r="V673" s="4">
        <v>22.25</v>
      </c>
      <c r="W673">
        <v>17</v>
      </c>
      <c r="X673">
        <v>149.41</v>
      </c>
      <c r="Y673" s="7">
        <v>5984</v>
      </c>
    </row>
    <row r="674" spans="1:25" ht="12.75" customHeight="1">
      <c r="A674">
        <v>4131</v>
      </c>
      <c r="B674" t="s">
        <v>25</v>
      </c>
      <c r="C674" s="4">
        <v>0.05</v>
      </c>
      <c r="D674" s="8">
        <v>52.4</v>
      </c>
      <c r="E674" s="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 s="5">
        <v>0.39</v>
      </c>
      <c r="O674" t="s">
        <v>33</v>
      </c>
      <c r="P674" t="s">
        <v>53</v>
      </c>
      <c r="Q674" t="s">
        <v>1008</v>
      </c>
      <c r="R674" t="s">
        <v>35</v>
      </c>
      <c r="S674" s="7">
        <v>20016</v>
      </c>
      <c r="T674" s="3">
        <v>42060</v>
      </c>
      <c r="U674" s="3">
        <v>42062</v>
      </c>
      <c r="V674" s="4">
        <v>592.52650000000006</v>
      </c>
      <c r="W674">
        <v>85</v>
      </c>
      <c r="X674">
        <v>4556.63</v>
      </c>
      <c r="Y674" s="7">
        <v>29350</v>
      </c>
    </row>
    <row r="675" spans="1:25" ht="12.75" customHeight="1">
      <c r="A675">
        <v>4133</v>
      </c>
      <c r="B675" t="s">
        <v>25</v>
      </c>
      <c r="C675" s="4">
        <v>0.05</v>
      </c>
      <c r="D675" s="8">
        <v>36.549999999999997</v>
      </c>
      <c r="E675" s="4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 s="5">
        <v>0.41</v>
      </c>
      <c r="O675" t="s">
        <v>33</v>
      </c>
      <c r="P675" t="s">
        <v>53</v>
      </c>
      <c r="Q675" t="s">
        <v>1008</v>
      </c>
      <c r="R675" t="s">
        <v>35</v>
      </c>
      <c r="S675" s="7">
        <v>20016</v>
      </c>
      <c r="T675" s="3">
        <v>42060</v>
      </c>
      <c r="U675" s="3">
        <v>42061</v>
      </c>
      <c r="V675" s="4">
        <v>232.8</v>
      </c>
      <c r="W675">
        <v>83</v>
      </c>
      <c r="X675">
        <v>2948.61</v>
      </c>
      <c r="Y675" s="7">
        <v>29350</v>
      </c>
    </row>
    <row r="676" spans="1:25" ht="12.75" customHeight="1">
      <c r="A676">
        <v>5468</v>
      </c>
      <c r="B676" t="s">
        <v>37</v>
      </c>
      <c r="C676" s="4">
        <v>0.03</v>
      </c>
      <c r="D676" s="8">
        <v>5.98</v>
      </c>
      <c r="E676" s="4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 s="5">
        <v>0.39</v>
      </c>
      <c r="O676" t="s">
        <v>33</v>
      </c>
      <c r="P676" t="s">
        <v>53</v>
      </c>
      <c r="Q676" t="s">
        <v>1008</v>
      </c>
      <c r="R676" t="s">
        <v>35</v>
      </c>
      <c r="S676" s="7">
        <v>20016</v>
      </c>
      <c r="T676" s="3">
        <v>42125</v>
      </c>
      <c r="U676" s="3">
        <v>42127</v>
      </c>
      <c r="V676" s="4">
        <v>38.08</v>
      </c>
      <c r="W676">
        <v>85</v>
      </c>
      <c r="X676">
        <v>517.85</v>
      </c>
      <c r="Y676" s="7">
        <v>38852</v>
      </c>
    </row>
    <row r="677" spans="1:25" ht="12.75" customHeight="1">
      <c r="A677">
        <v>1552</v>
      </c>
      <c r="B677" t="s">
        <v>106</v>
      </c>
      <c r="C677" s="4">
        <v>0.09</v>
      </c>
      <c r="D677" s="8">
        <v>49.99</v>
      </c>
      <c r="E677" s="4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 s="5">
        <v>0.41</v>
      </c>
      <c r="O677" t="s">
        <v>33</v>
      </c>
      <c r="P677" t="s">
        <v>53</v>
      </c>
      <c r="Q677" t="s">
        <v>1008</v>
      </c>
      <c r="R677" t="s">
        <v>35</v>
      </c>
      <c r="S677" s="7">
        <v>20016</v>
      </c>
      <c r="T677" s="3">
        <v>42183</v>
      </c>
      <c r="U677" s="3">
        <v>42185</v>
      </c>
      <c r="V677" s="4">
        <v>-17.03</v>
      </c>
      <c r="W677">
        <v>48</v>
      </c>
      <c r="X677">
        <v>2373.3200000000002</v>
      </c>
      <c r="Y677" s="7">
        <v>11206</v>
      </c>
    </row>
    <row r="678" spans="1:25" ht="12.75" customHeight="1">
      <c r="A678">
        <v>1553</v>
      </c>
      <c r="B678" t="s">
        <v>106</v>
      </c>
      <c r="C678" s="4">
        <v>0.03</v>
      </c>
      <c r="D678" s="8">
        <v>28.53</v>
      </c>
      <c r="E678" s="4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 s="5">
        <v>0.38</v>
      </c>
      <c r="O678" t="s">
        <v>33</v>
      </c>
      <c r="P678" t="s">
        <v>53</v>
      </c>
      <c r="Q678" t="s">
        <v>1008</v>
      </c>
      <c r="R678" t="s">
        <v>35</v>
      </c>
      <c r="S678" s="7">
        <v>20016</v>
      </c>
      <c r="T678" s="3">
        <v>42183</v>
      </c>
      <c r="U678" s="3">
        <v>42186</v>
      </c>
      <c r="V678" s="4">
        <v>39.626999999999995</v>
      </c>
      <c r="W678">
        <v>11</v>
      </c>
      <c r="X678">
        <v>325.73</v>
      </c>
      <c r="Y678" s="7">
        <v>11206</v>
      </c>
    </row>
    <row r="679" spans="1:25" ht="12.75" customHeight="1">
      <c r="A679">
        <v>23468</v>
      </c>
      <c r="B679" t="s">
        <v>37</v>
      </c>
      <c r="C679" s="4">
        <v>0.03</v>
      </c>
      <c r="D679" s="8">
        <v>5.98</v>
      </c>
      <c r="E679" s="4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 s="5">
        <v>0.39</v>
      </c>
      <c r="O679" t="s">
        <v>33</v>
      </c>
      <c r="P679" t="s">
        <v>136</v>
      </c>
      <c r="Q679" t="s">
        <v>362</v>
      </c>
      <c r="R679" t="s">
        <v>1292</v>
      </c>
      <c r="S679" s="7">
        <v>34142</v>
      </c>
      <c r="T679" s="3">
        <v>42125</v>
      </c>
      <c r="U679" s="3">
        <v>42127</v>
      </c>
      <c r="V679" s="4">
        <v>20.495999999999995</v>
      </c>
      <c r="W679">
        <v>21</v>
      </c>
      <c r="X679">
        <v>127.94</v>
      </c>
      <c r="Y679" s="7">
        <v>87586</v>
      </c>
    </row>
    <row r="680" spans="1:25" ht="12.75" customHeight="1">
      <c r="A680">
        <v>19358</v>
      </c>
      <c r="B680" t="s">
        <v>25</v>
      </c>
      <c r="C680" s="4">
        <v>0.08</v>
      </c>
      <c r="D680" s="8">
        <v>355.98</v>
      </c>
      <c r="E680" s="4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 s="5">
        <v>0.64</v>
      </c>
      <c r="O680" t="s">
        <v>33</v>
      </c>
      <c r="P680" t="s">
        <v>53</v>
      </c>
      <c r="Q680" t="s">
        <v>193</v>
      </c>
      <c r="R680" t="s">
        <v>1295</v>
      </c>
      <c r="S680" s="7">
        <v>1776</v>
      </c>
      <c r="T680" s="3">
        <v>42081</v>
      </c>
      <c r="U680" s="3">
        <v>42083</v>
      </c>
      <c r="V680" s="4">
        <v>103.83</v>
      </c>
      <c r="W680">
        <v>4</v>
      </c>
      <c r="X680">
        <v>1350.94</v>
      </c>
      <c r="Y680" s="7">
        <v>87583</v>
      </c>
    </row>
    <row r="681" spans="1:25" ht="12.75" customHeight="1">
      <c r="A681">
        <v>22132</v>
      </c>
      <c r="B681" t="s">
        <v>25</v>
      </c>
      <c r="C681" s="4">
        <v>0.1</v>
      </c>
      <c r="D681" s="8">
        <v>15.14</v>
      </c>
      <c r="E681" s="4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 s="5">
        <v>0.81</v>
      </c>
      <c r="O681" t="s">
        <v>33</v>
      </c>
      <c r="P681" t="s">
        <v>53</v>
      </c>
      <c r="Q681" t="s">
        <v>197</v>
      </c>
      <c r="R681" t="s">
        <v>1297</v>
      </c>
      <c r="S681" s="7">
        <v>3060</v>
      </c>
      <c r="T681" s="3">
        <v>42060</v>
      </c>
      <c r="U681" s="3">
        <v>42063</v>
      </c>
      <c r="V681" s="4">
        <v>-24.897600000000001</v>
      </c>
      <c r="W681">
        <v>5</v>
      </c>
      <c r="X681">
        <v>75.17</v>
      </c>
      <c r="Y681" s="7">
        <v>87585</v>
      </c>
    </row>
    <row r="682" spans="1:25" ht="12.75" customHeight="1">
      <c r="A682">
        <v>22131</v>
      </c>
      <c r="B682" t="s">
        <v>25</v>
      </c>
      <c r="C682" s="4">
        <v>0.05</v>
      </c>
      <c r="D682" s="8">
        <v>52.4</v>
      </c>
      <c r="E682" s="4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 s="5">
        <v>0.39</v>
      </c>
      <c r="O682" t="s">
        <v>33</v>
      </c>
      <c r="P682" t="s">
        <v>53</v>
      </c>
      <c r="Q682" t="s">
        <v>54</v>
      </c>
      <c r="R682" t="s">
        <v>1299</v>
      </c>
      <c r="S682" s="7">
        <v>7407</v>
      </c>
      <c r="T682" s="3">
        <v>42060</v>
      </c>
      <c r="U682" s="3">
        <v>42062</v>
      </c>
      <c r="V682" s="4">
        <v>776.7743999999999</v>
      </c>
      <c r="W682">
        <v>21</v>
      </c>
      <c r="X682">
        <v>1125.76</v>
      </c>
      <c r="Y682" s="7">
        <v>87585</v>
      </c>
    </row>
    <row r="683" spans="1:25" ht="12.75" customHeight="1">
      <c r="A683">
        <v>22133</v>
      </c>
      <c r="B683" t="s">
        <v>25</v>
      </c>
      <c r="C683" s="4">
        <v>0.05</v>
      </c>
      <c r="D683" s="8">
        <v>36.549999999999997</v>
      </c>
      <c r="E683" s="4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 s="5">
        <v>0.41</v>
      </c>
      <c r="O683" t="s">
        <v>33</v>
      </c>
      <c r="P683" t="s">
        <v>53</v>
      </c>
      <c r="Q683" t="s">
        <v>54</v>
      </c>
      <c r="R683" t="s">
        <v>1301</v>
      </c>
      <c r="S683" s="7">
        <v>7079</v>
      </c>
      <c r="T683" s="3">
        <v>42060</v>
      </c>
      <c r="U683" s="3">
        <v>42061</v>
      </c>
      <c r="V683" s="4">
        <v>344.54399999999998</v>
      </c>
      <c r="W683">
        <v>21</v>
      </c>
      <c r="X683">
        <v>746.03</v>
      </c>
      <c r="Y683" s="7">
        <v>87585</v>
      </c>
    </row>
    <row r="684" spans="1:25" ht="12.75" customHeight="1">
      <c r="A684">
        <v>19552</v>
      </c>
      <c r="B684" t="s">
        <v>106</v>
      </c>
      <c r="C684" s="4">
        <v>0.09</v>
      </c>
      <c r="D684" s="8">
        <v>49.99</v>
      </c>
      <c r="E684" s="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 s="5">
        <v>0.41</v>
      </c>
      <c r="O684" t="s">
        <v>33</v>
      </c>
      <c r="P684" t="s">
        <v>53</v>
      </c>
      <c r="Q684" t="s">
        <v>469</v>
      </c>
      <c r="R684" t="s">
        <v>470</v>
      </c>
      <c r="S684" s="7">
        <v>2920</v>
      </c>
      <c r="T684" s="3">
        <v>42183</v>
      </c>
      <c r="U684" s="3">
        <v>42185</v>
      </c>
      <c r="V684" s="4">
        <v>-8.5150000000000006</v>
      </c>
      <c r="W684">
        <v>12</v>
      </c>
      <c r="X684">
        <v>593.33000000000004</v>
      </c>
      <c r="Y684" s="7">
        <v>87587</v>
      </c>
    </row>
    <row r="685" spans="1:25" ht="12.75" customHeight="1">
      <c r="A685">
        <v>18636</v>
      </c>
      <c r="B685" t="s">
        <v>106</v>
      </c>
      <c r="C685" s="4">
        <v>0.01</v>
      </c>
      <c r="D685" s="8">
        <v>3.08</v>
      </c>
      <c r="E685" s="4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 s="5">
        <v>0.37</v>
      </c>
      <c r="O685" t="s">
        <v>33</v>
      </c>
      <c r="P685" t="s">
        <v>61</v>
      </c>
      <c r="Q685" t="s">
        <v>703</v>
      </c>
      <c r="R685" t="s">
        <v>1305</v>
      </c>
      <c r="S685" s="7">
        <v>46806</v>
      </c>
      <c r="T685" s="3">
        <v>42036</v>
      </c>
      <c r="U685" s="3">
        <v>42041</v>
      </c>
      <c r="V685" s="4">
        <v>9.0045000000000002</v>
      </c>
      <c r="W685">
        <v>4</v>
      </c>
      <c r="X685">
        <v>13.05</v>
      </c>
      <c r="Y685" s="7">
        <v>88598</v>
      </c>
    </row>
    <row r="686" spans="1:25" ht="12.75" customHeight="1">
      <c r="A686">
        <v>22528</v>
      </c>
      <c r="B686" t="s">
        <v>25</v>
      </c>
      <c r="C686" s="4">
        <v>0.08</v>
      </c>
      <c r="D686" s="8">
        <v>4.91</v>
      </c>
      <c r="E686" s="4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 s="5">
        <v>0.38</v>
      </c>
      <c r="O686" t="s">
        <v>33</v>
      </c>
      <c r="P686" t="s">
        <v>61</v>
      </c>
      <c r="Q686" t="s">
        <v>703</v>
      </c>
      <c r="R686" t="s">
        <v>1308</v>
      </c>
      <c r="S686" s="7">
        <v>46404</v>
      </c>
      <c r="T686" s="3">
        <v>42019</v>
      </c>
      <c r="U686" s="3">
        <v>42020</v>
      </c>
      <c r="V686" s="4">
        <v>-99.762500000000003</v>
      </c>
      <c r="W686">
        <v>12</v>
      </c>
      <c r="X686">
        <v>58.95</v>
      </c>
      <c r="Y686" s="7">
        <v>88600</v>
      </c>
    </row>
    <row r="687" spans="1:25" ht="12.75" customHeight="1">
      <c r="A687">
        <v>22529</v>
      </c>
      <c r="B687" t="s">
        <v>25</v>
      </c>
      <c r="C687" s="4">
        <v>0.01</v>
      </c>
      <c r="D687" s="8">
        <v>3499.99</v>
      </c>
      <c r="E687" s="4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 s="5">
        <v>0.37</v>
      </c>
      <c r="O687" t="s">
        <v>33</v>
      </c>
      <c r="P687" t="s">
        <v>61</v>
      </c>
      <c r="Q687" t="s">
        <v>703</v>
      </c>
      <c r="R687" t="s">
        <v>1308</v>
      </c>
      <c r="S687" s="7">
        <v>46404</v>
      </c>
      <c r="T687" s="3">
        <v>42019</v>
      </c>
      <c r="U687" s="3">
        <v>42020</v>
      </c>
      <c r="V687" s="4">
        <v>-3061.82</v>
      </c>
      <c r="W687">
        <v>1</v>
      </c>
      <c r="X687">
        <v>3672.89</v>
      </c>
      <c r="Y687" s="7">
        <v>88600</v>
      </c>
    </row>
    <row r="688" spans="1:25" ht="12.75" customHeight="1">
      <c r="A688">
        <v>24270</v>
      </c>
      <c r="B688" t="s">
        <v>106</v>
      </c>
      <c r="C688" s="4">
        <v>7.0000000000000007E-2</v>
      </c>
      <c r="D688" s="8">
        <v>29.89</v>
      </c>
      <c r="E688" s="4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 s="5">
        <v>0.5</v>
      </c>
      <c r="O688" t="s">
        <v>33</v>
      </c>
      <c r="P688" t="s">
        <v>61</v>
      </c>
      <c r="Q688" t="s">
        <v>703</v>
      </c>
      <c r="R688" t="s">
        <v>1312</v>
      </c>
      <c r="S688" s="7">
        <v>46530</v>
      </c>
      <c r="T688" s="3">
        <v>42039</v>
      </c>
      <c r="U688" s="3">
        <v>42044</v>
      </c>
      <c r="V688" s="4">
        <v>258.6189</v>
      </c>
      <c r="W688">
        <v>13</v>
      </c>
      <c r="X688">
        <v>374.81</v>
      </c>
      <c r="Y688" s="7">
        <v>88599</v>
      </c>
    </row>
    <row r="689" spans="1:25" ht="12.75" customHeight="1">
      <c r="A689">
        <v>24271</v>
      </c>
      <c r="B689" t="s">
        <v>106</v>
      </c>
      <c r="C689" s="4">
        <v>0.03</v>
      </c>
      <c r="D689" s="8">
        <v>8.34</v>
      </c>
      <c r="E689" s="4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 s="5">
        <v>0.4</v>
      </c>
      <c r="O689" t="s">
        <v>33</v>
      </c>
      <c r="P689" t="s">
        <v>61</v>
      </c>
      <c r="Q689" t="s">
        <v>703</v>
      </c>
      <c r="R689" t="s">
        <v>1312</v>
      </c>
      <c r="S689" s="7">
        <v>46530</v>
      </c>
      <c r="T689" s="3">
        <v>42039</v>
      </c>
      <c r="U689" s="3">
        <v>42043</v>
      </c>
      <c r="V689" s="4">
        <v>-6.71</v>
      </c>
      <c r="W689">
        <v>5</v>
      </c>
      <c r="X689">
        <v>43.27</v>
      </c>
      <c r="Y689" s="7">
        <v>88599</v>
      </c>
    </row>
    <row r="690" spans="1:25" ht="12.75" customHeight="1">
      <c r="A690">
        <v>22530</v>
      </c>
      <c r="B690" t="s">
        <v>25</v>
      </c>
      <c r="C690" s="4">
        <v>0.03</v>
      </c>
      <c r="D690" s="8">
        <v>5.84</v>
      </c>
      <c r="E690" s="4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 s="5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 s="7">
        <v>46530</v>
      </c>
      <c r="T690" s="3">
        <v>42019</v>
      </c>
      <c r="U690" s="3">
        <v>42021</v>
      </c>
      <c r="V690" s="4">
        <v>-9.9999999999997868E-3</v>
      </c>
      <c r="W690">
        <v>2</v>
      </c>
      <c r="X690">
        <v>11.74</v>
      </c>
      <c r="Y690" s="7">
        <v>88600</v>
      </c>
    </row>
    <row r="691" spans="1:25" ht="12.75" customHeight="1">
      <c r="A691">
        <v>7632</v>
      </c>
      <c r="B691" t="s">
        <v>56</v>
      </c>
      <c r="C691" s="4">
        <v>0.09</v>
      </c>
      <c r="D691" s="8">
        <v>130.97999999999999</v>
      </c>
      <c r="E691" s="4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 s="5">
        <v>0.78</v>
      </c>
      <c r="O691" t="s">
        <v>33</v>
      </c>
      <c r="P691" t="s">
        <v>53</v>
      </c>
      <c r="Q691" t="s">
        <v>193</v>
      </c>
      <c r="R691" t="s">
        <v>194</v>
      </c>
      <c r="S691" s="7">
        <v>2112</v>
      </c>
      <c r="T691" s="3">
        <v>42122</v>
      </c>
      <c r="U691" s="3">
        <v>42125</v>
      </c>
      <c r="V691" s="4">
        <v>-421.76</v>
      </c>
      <c r="W691">
        <v>41</v>
      </c>
      <c r="X691">
        <v>5258.94</v>
      </c>
      <c r="Y691" s="7">
        <v>54595</v>
      </c>
    </row>
    <row r="692" spans="1:25" ht="12.75" customHeight="1">
      <c r="A692">
        <v>25631</v>
      </c>
      <c r="B692" t="s">
        <v>56</v>
      </c>
      <c r="C692" s="4">
        <v>0.02</v>
      </c>
      <c r="D692" s="8">
        <v>8.34</v>
      </c>
      <c r="E692" s="4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 s="5">
        <v>0.59</v>
      </c>
      <c r="O692" t="s">
        <v>33</v>
      </c>
      <c r="P692" t="s">
        <v>53</v>
      </c>
      <c r="Q692" t="s">
        <v>469</v>
      </c>
      <c r="R692" t="s">
        <v>1316</v>
      </c>
      <c r="S692" s="7">
        <v>2861</v>
      </c>
      <c r="T692" s="3">
        <v>42122</v>
      </c>
      <c r="U692" s="3">
        <v>42124</v>
      </c>
      <c r="V692" s="4">
        <v>6.79</v>
      </c>
      <c r="W692">
        <v>8</v>
      </c>
      <c r="X692">
        <v>66.739999999999995</v>
      </c>
      <c r="Y692" s="7">
        <v>90800</v>
      </c>
    </row>
    <row r="693" spans="1:25" ht="12.75" customHeight="1">
      <c r="A693">
        <v>25632</v>
      </c>
      <c r="B693" t="s">
        <v>56</v>
      </c>
      <c r="C693" s="4">
        <v>0.09</v>
      </c>
      <c r="D693" s="8">
        <v>130.97999999999999</v>
      </c>
      <c r="E693" s="4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 s="5">
        <v>0.78</v>
      </c>
      <c r="O693" t="s">
        <v>33</v>
      </c>
      <c r="P693" t="s">
        <v>53</v>
      </c>
      <c r="Q693" t="s">
        <v>149</v>
      </c>
      <c r="R693" t="s">
        <v>778</v>
      </c>
      <c r="S693" s="7">
        <v>5403</v>
      </c>
      <c r="T693" s="3">
        <v>42122</v>
      </c>
      <c r="U693" s="3">
        <v>42125</v>
      </c>
      <c r="V693" s="4">
        <v>-421.76</v>
      </c>
      <c r="W693">
        <v>10</v>
      </c>
      <c r="X693">
        <v>1282.67</v>
      </c>
      <c r="Y693" s="7">
        <v>90800</v>
      </c>
    </row>
    <row r="694" spans="1:25" ht="12.75" customHeight="1">
      <c r="A694">
        <v>7810</v>
      </c>
      <c r="B694" t="s">
        <v>56</v>
      </c>
      <c r="C694" s="4">
        <v>0</v>
      </c>
      <c r="D694" s="8">
        <v>7.1</v>
      </c>
      <c r="E694" s="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 s="5">
        <v>0.39</v>
      </c>
      <c r="O694" t="s">
        <v>33</v>
      </c>
      <c r="P694" t="s">
        <v>53</v>
      </c>
      <c r="Q694" t="s">
        <v>234</v>
      </c>
      <c r="R694" t="s">
        <v>1319</v>
      </c>
      <c r="S694" s="7">
        <v>19140</v>
      </c>
      <c r="T694" s="3">
        <v>42051</v>
      </c>
      <c r="U694" s="3">
        <v>42052</v>
      </c>
      <c r="V694" s="4">
        <v>-60.145000000000003</v>
      </c>
      <c r="W694">
        <v>28</v>
      </c>
      <c r="X694">
        <v>208.83</v>
      </c>
      <c r="Y694" s="7">
        <v>55874</v>
      </c>
    </row>
    <row r="695" spans="1:25" ht="12.75" customHeight="1">
      <c r="A695">
        <v>7811</v>
      </c>
      <c r="B695" t="s">
        <v>56</v>
      </c>
      <c r="C695" s="4">
        <v>0.01</v>
      </c>
      <c r="D695" s="8">
        <v>4.9800000000000004</v>
      </c>
      <c r="E695" s="4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 s="5">
        <v>0.64</v>
      </c>
      <c r="O695" t="s">
        <v>33</v>
      </c>
      <c r="P695" t="s">
        <v>53</v>
      </c>
      <c r="Q695" t="s">
        <v>234</v>
      </c>
      <c r="R695" t="s">
        <v>1319</v>
      </c>
      <c r="S695" s="7">
        <v>19140</v>
      </c>
      <c r="T695" s="3">
        <v>42051</v>
      </c>
      <c r="U695" s="3">
        <v>42053</v>
      </c>
      <c r="V695" s="4">
        <v>-111.72</v>
      </c>
      <c r="W695">
        <v>41</v>
      </c>
      <c r="X695">
        <v>228.3</v>
      </c>
      <c r="Y695" s="7">
        <v>55874</v>
      </c>
    </row>
    <row r="696" spans="1:25" ht="12.75" customHeight="1">
      <c r="A696">
        <v>7812</v>
      </c>
      <c r="B696" t="s">
        <v>56</v>
      </c>
      <c r="C696" s="4">
        <v>0.06</v>
      </c>
      <c r="D696" s="8">
        <v>5.68</v>
      </c>
      <c r="E696" s="4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 s="5">
        <v>0.38</v>
      </c>
      <c r="O696" t="s">
        <v>33</v>
      </c>
      <c r="P696" t="s">
        <v>53</v>
      </c>
      <c r="Q696" t="s">
        <v>234</v>
      </c>
      <c r="R696" t="s">
        <v>1319</v>
      </c>
      <c r="S696" s="7">
        <v>19140</v>
      </c>
      <c r="T696" s="3">
        <v>42051</v>
      </c>
      <c r="U696" s="3">
        <v>42051</v>
      </c>
      <c r="V696" s="4">
        <v>33.01</v>
      </c>
      <c r="W696">
        <v>24</v>
      </c>
      <c r="X696">
        <v>129.53</v>
      </c>
      <c r="Y696" s="7">
        <v>55874</v>
      </c>
    </row>
    <row r="697" spans="1:25" ht="12.75" customHeight="1">
      <c r="A697">
        <v>25811</v>
      </c>
      <c r="B697" t="s">
        <v>56</v>
      </c>
      <c r="C697" s="4">
        <v>0.01</v>
      </c>
      <c r="D697" s="8">
        <v>4.9800000000000004</v>
      </c>
      <c r="E697" s="4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 s="5">
        <v>0.64</v>
      </c>
      <c r="O697" t="s">
        <v>33</v>
      </c>
      <c r="P697" t="s">
        <v>61</v>
      </c>
      <c r="Q697" t="s">
        <v>130</v>
      </c>
      <c r="R697" t="s">
        <v>1321</v>
      </c>
      <c r="S697" s="7">
        <v>75482</v>
      </c>
      <c r="T697" s="3">
        <v>42051</v>
      </c>
      <c r="U697" s="3">
        <v>42053</v>
      </c>
      <c r="V697" s="4">
        <v>-111.72</v>
      </c>
      <c r="W697">
        <v>10</v>
      </c>
      <c r="X697">
        <v>55.68</v>
      </c>
      <c r="Y697" s="7">
        <v>90378</v>
      </c>
    </row>
    <row r="698" spans="1:25" ht="12.75" customHeight="1">
      <c r="A698">
        <v>21206</v>
      </c>
      <c r="B698" t="s">
        <v>47</v>
      </c>
      <c r="C698" s="4">
        <v>0.1</v>
      </c>
      <c r="D698" s="8">
        <v>120.98</v>
      </c>
      <c r="E698" s="4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 s="5">
        <v>0.35</v>
      </c>
      <c r="O698" t="s">
        <v>33</v>
      </c>
      <c r="P698" t="s">
        <v>61</v>
      </c>
      <c r="Q698" t="s">
        <v>130</v>
      </c>
      <c r="R698" t="s">
        <v>1324</v>
      </c>
      <c r="S698" s="7">
        <v>75028</v>
      </c>
      <c r="T698" s="3">
        <v>42103</v>
      </c>
      <c r="U698" s="3">
        <v>42105</v>
      </c>
      <c r="V698" s="4">
        <v>297.45715999999999</v>
      </c>
      <c r="W698">
        <v>5</v>
      </c>
      <c r="X698">
        <v>568.24</v>
      </c>
      <c r="Y698" s="7">
        <v>89375</v>
      </c>
    </row>
    <row r="699" spans="1:25" ht="12.75" customHeight="1">
      <c r="A699">
        <v>21207</v>
      </c>
      <c r="B699" t="s">
        <v>47</v>
      </c>
      <c r="C699" s="4">
        <v>0.02</v>
      </c>
      <c r="D699" s="8">
        <v>152.47999999999999</v>
      </c>
      <c r="E699" s="4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 s="5">
        <v>0.74</v>
      </c>
      <c r="O699" t="s">
        <v>33</v>
      </c>
      <c r="P699" t="s">
        <v>61</v>
      </c>
      <c r="Q699" t="s">
        <v>130</v>
      </c>
      <c r="R699" t="s">
        <v>1324</v>
      </c>
      <c r="S699" s="7">
        <v>75028</v>
      </c>
      <c r="T699" s="3">
        <v>42103</v>
      </c>
      <c r="U699" s="3">
        <v>42105</v>
      </c>
      <c r="V699" s="4">
        <v>-564.60239999999999</v>
      </c>
      <c r="W699">
        <v>1</v>
      </c>
      <c r="X699">
        <v>162.91</v>
      </c>
      <c r="Y699" s="7">
        <v>89375</v>
      </c>
    </row>
    <row r="700" spans="1:25" ht="12.75" customHeight="1">
      <c r="A700">
        <v>19874</v>
      </c>
      <c r="B700" t="s">
        <v>25</v>
      </c>
      <c r="C700" s="4">
        <v>0.09</v>
      </c>
      <c r="D700" s="8">
        <v>99.99</v>
      </c>
      <c r="E700" s="4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 s="5">
        <v>0.52</v>
      </c>
      <c r="O700" t="s">
        <v>33</v>
      </c>
      <c r="P700" t="s">
        <v>61</v>
      </c>
      <c r="Q700" t="s">
        <v>130</v>
      </c>
      <c r="R700" t="s">
        <v>1324</v>
      </c>
      <c r="S700" s="7">
        <v>75028</v>
      </c>
      <c r="T700" s="3">
        <v>42159</v>
      </c>
      <c r="U700" s="3">
        <v>42161</v>
      </c>
      <c r="V700" s="4">
        <v>-161.47499999999999</v>
      </c>
      <c r="W700">
        <v>1</v>
      </c>
      <c r="X700">
        <v>97.65</v>
      </c>
      <c r="Y700" s="7">
        <v>89376</v>
      </c>
    </row>
    <row r="701" spans="1:25" ht="12.75" customHeight="1">
      <c r="A701">
        <v>19875</v>
      </c>
      <c r="B701" t="s">
        <v>25</v>
      </c>
      <c r="C701" s="4">
        <v>0.04</v>
      </c>
      <c r="D701" s="8">
        <v>205.99</v>
      </c>
      <c r="E701" s="4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 s="5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 s="7">
        <v>75028</v>
      </c>
      <c r="T701" s="3">
        <v>42159</v>
      </c>
      <c r="U701" s="3">
        <v>42160</v>
      </c>
      <c r="V701" s="4">
        <v>-0.81400000000001005</v>
      </c>
      <c r="W701">
        <v>6</v>
      </c>
      <c r="X701">
        <v>1018.61</v>
      </c>
      <c r="Y701" s="7">
        <v>89376</v>
      </c>
    </row>
    <row r="702" spans="1:25" ht="12.75" customHeight="1">
      <c r="A702">
        <v>20592</v>
      </c>
      <c r="B702" t="s">
        <v>56</v>
      </c>
      <c r="C702" s="4">
        <v>0.03</v>
      </c>
      <c r="D702" s="8">
        <v>128.24</v>
      </c>
      <c r="E702" s="4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 s="7">
        <v>75007</v>
      </c>
      <c r="T702" s="3">
        <v>42035</v>
      </c>
      <c r="U702" s="3">
        <v>42037</v>
      </c>
      <c r="V702" s="4">
        <v>790.46399999999983</v>
      </c>
      <c r="W702">
        <v>9</v>
      </c>
      <c r="X702">
        <v>1145.5999999999999</v>
      </c>
      <c r="Y702" s="7">
        <v>86075</v>
      </c>
    </row>
    <row r="703" spans="1:25" ht="12.75" customHeight="1">
      <c r="A703">
        <v>18625</v>
      </c>
      <c r="B703" t="s">
        <v>37</v>
      </c>
      <c r="C703" s="4">
        <v>0.02</v>
      </c>
      <c r="D703" s="8">
        <v>7.38</v>
      </c>
      <c r="E703" s="4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 s="5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 s="7">
        <v>75007</v>
      </c>
      <c r="T703" s="3">
        <v>42092</v>
      </c>
      <c r="U703" s="3">
        <v>42093</v>
      </c>
      <c r="V703" s="4">
        <v>7.74</v>
      </c>
      <c r="W703">
        <v>3</v>
      </c>
      <c r="X703">
        <v>24.52</v>
      </c>
      <c r="Y703" s="7">
        <v>86076</v>
      </c>
    </row>
    <row r="704" spans="1:25" ht="12.75" customHeight="1">
      <c r="A704">
        <v>20432</v>
      </c>
      <c r="B704" t="s">
        <v>56</v>
      </c>
      <c r="C704" s="4">
        <v>0.05</v>
      </c>
      <c r="D704" s="8">
        <v>300.98</v>
      </c>
      <c r="E704" s="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 s="5">
        <v>0.39</v>
      </c>
      <c r="O704" t="s">
        <v>33</v>
      </c>
      <c r="P704" t="s">
        <v>61</v>
      </c>
      <c r="Q704" t="s">
        <v>130</v>
      </c>
      <c r="R704" t="s">
        <v>1326</v>
      </c>
      <c r="S704" s="7">
        <v>75007</v>
      </c>
      <c r="T704" s="3">
        <v>42149</v>
      </c>
      <c r="U704" s="3">
        <v>42150</v>
      </c>
      <c r="V704" s="4">
        <v>3985.3089</v>
      </c>
      <c r="W704">
        <v>20</v>
      </c>
      <c r="X704">
        <v>5775.81</v>
      </c>
      <c r="Y704" s="7">
        <v>86077</v>
      </c>
    </row>
    <row r="705" spans="1:25" ht="12.75" customHeight="1">
      <c r="A705">
        <v>20433</v>
      </c>
      <c r="B705" t="s">
        <v>56</v>
      </c>
      <c r="C705" s="4">
        <v>0.04</v>
      </c>
      <c r="D705" s="8">
        <v>205.99</v>
      </c>
      <c r="E705" s="4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 s="5">
        <v>0.59</v>
      </c>
      <c r="O705" t="s">
        <v>33</v>
      </c>
      <c r="P705" t="s">
        <v>61</v>
      </c>
      <c r="Q705" t="s">
        <v>130</v>
      </c>
      <c r="R705" t="s">
        <v>1326</v>
      </c>
      <c r="S705" s="7">
        <v>75007</v>
      </c>
      <c r="T705" s="3">
        <v>42149</v>
      </c>
      <c r="U705" s="3">
        <v>42150</v>
      </c>
      <c r="V705" s="4">
        <v>13.956800000000015</v>
      </c>
      <c r="W705">
        <v>11</v>
      </c>
      <c r="X705">
        <v>1878.24</v>
      </c>
      <c r="Y705" s="7">
        <v>86077</v>
      </c>
    </row>
    <row r="706" spans="1:25" ht="12.75" customHeight="1">
      <c r="A706">
        <v>20593</v>
      </c>
      <c r="B706" t="s">
        <v>56</v>
      </c>
      <c r="C706" s="4">
        <v>0.01</v>
      </c>
      <c r="D706" s="8">
        <v>160.97999999999999</v>
      </c>
      <c r="E706" s="4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 s="5">
        <v>0.62</v>
      </c>
      <c r="O706" t="s">
        <v>33</v>
      </c>
      <c r="P706" t="s">
        <v>61</v>
      </c>
      <c r="Q706" t="s">
        <v>130</v>
      </c>
      <c r="R706" t="s">
        <v>1330</v>
      </c>
      <c r="S706" s="7">
        <v>75104</v>
      </c>
      <c r="T706" s="3">
        <v>42035</v>
      </c>
      <c r="U706" s="3">
        <v>42037</v>
      </c>
      <c r="V706" s="4">
        <v>788.79</v>
      </c>
      <c r="W706">
        <v>10</v>
      </c>
      <c r="X706">
        <v>1634.67</v>
      </c>
      <c r="Y706" s="7">
        <v>86075</v>
      </c>
    </row>
    <row r="707" spans="1:25" ht="12.75" customHeight="1">
      <c r="A707">
        <v>20920</v>
      </c>
      <c r="B707" t="s">
        <v>37</v>
      </c>
      <c r="C707" s="4">
        <v>0</v>
      </c>
      <c r="D707" s="8">
        <v>387.99</v>
      </c>
      <c r="E707" s="4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 s="5">
        <v>0.38</v>
      </c>
      <c r="O707" t="s">
        <v>33</v>
      </c>
      <c r="P707" t="s">
        <v>136</v>
      </c>
      <c r="Q707" t="s">
        <v>1278</v>
      </c>
      <c r="R707" t="s">
        <v>511</v>
      </c>
      <c r="S707" s="7">
        <v>36830</v>
      </c>
      <c r="T707" s="3">
        <v>42079</v>
      </c>
      <c r="U707" s="3">
        <v>42080</v>
      </c>
      <c r="V707" s="4">
        <v>-70.14</v>
      </c>
      <c r="W707">
        <v>23</v>
      </c>
      <c r="X707">
        <v>9280.7199999999993</v>
      </c>
      <c r="Y707" s="7">
        <v>90880</v>
      </c>
    </row>
    <row r="708" spans="1:25" ht="12.75" customHeight="1">
      <c r="A708">
        <v>20233</v>
      </c>
      <c r="B708" t="s">
        <v>47</v>
      </c>
      <c r="C708" s="4">
        <v>0.06</v>
      </c>
      <c r="D708" s="8">
        <v>200.97</v>
      </c>
      <c r="E708" s="4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 s="5">
        <v>0.36</v>
      </c>
      <c r="O708" t="s">
        <v>33</v>
      </c>
      <c r="P708" t="s">
        <v>136</v>
      </c>
      <c r="Q708" t="s">
        <v>1278</v>
      </c>
      <c r="R708" t="s">
        <v>511</v>
      </c>
      <c r="S708" s="7">
        <v>36830</v>
      </c>
      <c r="T708" s="3">
        <v>42088</v>
      </c>
      <c r="U708" s="3">
        <v>42088</v>
      </c>
      <c r="V708" s="4">
        <v>531.61799999999994</v>
      </c>
      <c r="W708">
        <v>7</v>
      </c>
      <c r="X708">
        <v>1348.83</v>
      </c>
      <c r="Y708" s="7">
        <v>90881</v>
      </c>
    </row>
    <row r="709" spans="1:25" ht="12.75" customHeight="1">
      <c r="A709">
        <v>5117</v>
      </c>
      <c r="B709" t="s">
        <v>25</v>
      </c>
      <c r="C709" s="4">
        <v>0.1</v>
      </c>
      <c r="D709" s="8">
        <v>22.38</v>
      </c>
      <c r="E709" s="4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 s="5">
        <v>0.38</v>
      </c>
      <c r="O709" t="s">
        <v>33</v>
      </c>
      <c r="P709" t="s">
        <v>53</v>
      </c>
      <c r="Q709" t="s">
        <v>71</v>
      </c>
      <c r="R709" t="s">
        <v>90</v>
      </c>
      <c r="S709" s="7">
        <v>10009</v>
      </c>
      <c r="T709" s="3">
        <v>42099</v>
      </c>
      <c r="U709" s="3">
        <v>42100</v>
      </c>
      <c r="V709" s="4">
        <v>-107.51349999999999</v>
      </c>
      <c r="W709">
        <v>26</v>
      </c>
      <c r="X709">
        <v>564.98</v>
      </c>
      <c r="Y709" s="7">
        <v>36452</v>
      </c>
    </row>
    <row r="710" spans="1:25" ht="12.75" customHeight="1">
      <c r="A710">
        <v>5118</v>
      </c>
      <c r="B710" t="s">
        <v>25</v>
      </c>
      <c r="C710" s="4">
        <v>0.04</v>
      </c>
      <c r="D710" s="8">
        <v>6.98</v>
      </c>
      <c r="E710" s="4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 s="5">
        <v>0.37</v>
      </c>
      <c r="O710" t="s">
        <v>33</v>
      </c>
      <c r="P710" t="s">
        <v>53</v>
      </c>
      <c r="Q710" t="s">
        <v>71</v>
      </c>
      <c r="R710" t="s">
        <v>90</v>
      </c>
      <c r="S710" s="7">
        <v>10009</v>
      </c>
      <c r="T710" s="3">
        <v>42099</v>
      </c>
      <c r="U710" s="3">
        <v>42101</v>
      </c>
      <c r="V710" s="4">
        <v>46.01</v>
      </c>
      <c r="W710">
        <v>18</v>
      </c>
      <c r="X710">
        <v>129.47999999999999</v>
      </c>
      <c r="Y710" s="7">
        <v>36452</v>
      </c>
    </row>
    <row r="711" spans="1:25" ht="12.75" customHeight="1">
      <c r="A711">
        <v>6581</v>
      </c>
      <c r="B711" t="s">
        <v>106</v>
      </c>
      <c r="C711" s="4">
        <v>0.03</v>
      </c>
      <c r="D711" s="8">
        <v>256.99</v>
      </c>
      <c r="E711" s="4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 s="5">
        <v>0.51</v>
      </c>
      <c r="O711" t="s">
        <v>33</v>
      </c>
      <c r="P711" t="s">
        <v>53</v>
      </c>
      <c r="Q711" t="s">
        <v>71</v>
      </c>
      <c r="R711" t="s">
        <v>90</v>
      </c>
      <c r="S711" s="7">
        <v>10009</v>
      </c>
      <c r="T711" s="3">
        <v>42146</v>
      </c>
      <c r="U711" s="3">
        <v>42146</v>
      </c>
      <c r="V711" s="4">
        <v>1489.8</v>
      </c>
      <c r="W711">
        <v>32</v>
      </c>
      <c r="X711">
        <v>8216.2800000000007</v>
      </c>
      <c r="Y711" s="7">
        <v>46853</v>
      </c>
    </row>
    <row r="712" spans="1:25" ht="12.75" customHeight="1">
      <c r="A712">
        <v>23117</v>
      </c>
      <c r="B712" t="s">
        <v>25</v>
      </c>
      <c r="C712" s="4">
        <v>0.1</v>
      </c>
      <c r="D712" s="8">
        <v>22.38</v>
      </c>
      <c r="E712" s="4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 s="5">
        <v>0.38</v>
      </c>
      <c r="O712" t="s">
        <v>33</v>
      </c>
      <c r="P712" t="s">
        <v>61</v>
      </c>
      <c r="Q712" t="s">
        <v>130</v>
      </c>
      <c r="R712" t="s">
        <v>1338</v>
      </c>
      <c r="S712" s="7">
        <v>78641</v>
      </c>
      <c r="T712" s="3">
        <v>42099</v>
      </c>
      <c r="U712" s="3">
        <v>42100</v>
      </c>
      <c r="V712" s="4">
        <v>-107.51349999999999</v>
      </c>
      <c r="W712">
        <v>7</v>
      </c>
      <c r="X712">
        <v>152.11000000000001</v>
      </c>
      <c r="Y712" s="7">
        <v>91555</v>
      </c>
    </row>
    <row r="713" spans="1:25" ht="12.75" customHeight="1">
      <c r="A713">
        <v>23118</v>
      </c>
      <c r="B713" t="s">
        <v>25</v>
      </c>
      <c r="C713" s="4">
        <v>0.04</v>
      </c>
      <c r="D713" s="8">
        <v>6.98</v>
      </c>
      <c r="E713" s="4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 s="5">
        <v>0.37</v>
      </c>
      <c r="O713" t="s">
        <v>33</v>
      </c>
      <c r="P713" t="s">
        <v>61</v>
      </c>
      <c r="Q713" t="s">
        <v>130</v>
      </c>
      <c r="R713" t="s">
        <v>1338</v>
      </c>
      <c r="S713" s="7">
        <v>78641</v>
      </c>
      <c r="T713" s="3">
        <v>42099</v>
      </c>
      <c r="U713" s="3">
        <v>42101</v>
      </c>
      <c r="V713" s="4">
        <v>24.819299999999998</v>
      </c>
      <c r="W713">
        <v>5</v>
      </c>
      <c r="X713">
        <v>35.97</v>
      </c>
      <c r="Y713" s="7">
        <v>91555</v>
      </c>
    </row>
    <row r="714" spans="1:25" ht="12.75" customHeight="1">
      <c r="A714">
        <v>18413</v>
      </c>
      <c r="B714" t="s">
        <v>25</v>
      </c>
      <c r="C714" s="4">
        <v>0</v>
      </c>
      <c r="D714" s="8">
        <v>3.89</v>
      </c>
      <c r="E714" s="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 s="5">
        <v>0.37</v>
      </c>
      <c r="O714" t="s">
        <v>33</v>
      </c>
      <c r="P714" t="s">
        <v>61</v>
      </c>
      <c r="Q714" t="s">
        <v>178</v>
      </c>
      <c r="R714" t="s">
        <v>1341</v>
      </c>
      <c r="S714" s="7">
        <v>60110</v>
      </c>
      <c r="T714" s="3">
        <v>42103</v>
      </c>
      <c r="U714" s="3">
        <v>42103</v>
      </c>
      <c r="V714" s="4">
        <v>-255.16890000000001</v>
      </c>
      <c r="W714">
        <v>21</v>
      </c>
      <c r="X714">
        <v>85.64</v>
      </c>
      <c r="Y714" s="7">
        <v>87877</v>
      </c>
    </row>
    <row r="715" spans="1:25" ht="12.75" customHeight="1">
      <c r="A715">
        <v>18414</v>
      </c>
      <c r="B715" t="s">
        <v>25</v>
      </c>
      <c r="C715" s="4">
        <v>0.09</v>
      </c>
      <c r="D715" s="8">
        <v>120.98</v>
      </c>
      <c r="E715" s="4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 s="5">
        <v>0.64</v>
      </c>
      <c r="O715" t="s">
        <v>33</v>
      </c>
      <c r="P715" t="s">
        <v>61</v>
      </c>
      <c r="Q715" t="s">
        <v>178</v>
      </c>
      <c r="R715" t="s">
        <v>1341</v>
      </c>
      <c r="S715" s="7">
        <v>60110</v>
      </c>
      <c r="T715" s="3">
        <v>42103</v>
      </c>
      <c r="U715" s="3">
        <v>42105</v>
      </c>
      <c r="V715" s="4">
        <v>74.004800000000003</v>
      </c>
      <c r="W715">
        <v>22</v>
      </c>
      <c r="X715">
        <v>2508.15</v>
      </c>
      <c r="Y715" s="7">
        <v>87877</v>
      </c>
    </row>
    <row r="716" spans="1:25" ht="12.75" customHeight="1">
      <c r="A716">
        <v>18415</v>
      </c>
      <c r="B716" t="s">
        <v>25</v>
      </c>
      <c r="C716" s="4">
        <v>0.1</v>
      </c>
      <c r="D716" s="8">
        <v>30.98</v>
      </c>
      <c r="E716" s="4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 s="5">
        <v>0.4</v>
      </c>
      <c r="O716" t="s">
        <v>33</v>
      </c>
      <c r="P716" t="s">
        <v>61</v>
      </c>
      <c r="Q716" t="s">
        <v>178</v>
      </c>
      <c r="R716" t="s">
        <v>1341</v>
      </c>
      <c r="S716" s="7">
        <v>60110</v>
      </c>
      <c r="T716" s="3">
        <v>42103</v>
      </c>
      <c r="U716" s="3">
        <v>42104</v>
      </c>
      <c r="V716" s="4">
        <v>109.42479999999999</v>
      </c>
      <c r="W716">
        <v>8</v>
      </c>
      <c r="X716">
        <v>225.62</v>
      </c>
      <c r="Y716" s="7">
        <v>87877</v>
      </c>
    </row>
    <row r="717" spans="1:25" ht="12.75" customHeight="1">
      <c r="A717">
        <v>19322</v>
      </c>
      <c r="B717" t="s">
        <v>106</v>
      </c>
      <c r="C717" s="4">
        <v>0.02</v>
      </c>
      <c r="D717" s="8">
        <v>46.89</v>
      </c>
      <c r="E717" s="4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 s="5">
        <v>0.46</v>
      </c>
      <c r="O717" t="s">
        <v>33</v>
      </c>
      <c r="P717" t="s">
        <v>61</v>
      </c>
      <c r="Q717" t="s">
        <v>130</v>
      </c>
      <c r="R717" t="s">
        <v>1346</v>
      </c>
      <c r="S717" s="7">
        <v>78613</v>
      </c>
      <c r="T717" s="3">
        <v>42117</v>
      </c>
      <c r="U717" s="3">
        <v>42117</v>
      </c>
      <c r="V717" s="4">
        <v>421.34849999999994</v>
      </c>
      <c r="W717">
        <v>13</v>
      </c>
      <c r="X717">
        <v>610.65</v>
      </c>
      <c r="Y717" s="7">
        <v>89981</v>
      </c>
    </row>
    <row r="718" spans="1:25" ht="12.75" customHeight="1">
      <c r="A718">
        <v>19323</v>
      </c>
      <c r="B718" t="s">
        <v>106</v>
      </c>
      <c r="C718" s="4">
        <v>0.05</v>
      </c>
      <c r="D718" s="8">
        <v>140.97999999999999</v>
      </c>
      <c r="E718" s="4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 s="5">
        <v>0.77</v>
      </c>
      <c r="O718" t="s">
        <v>33</v>
      </c>
      <c r="P718" t="s">
        <v>61</v>
      </c>
      <c r="Q718" t="s">
        <v>130</v>
      </c>
      <c r="R718" t="s">
        <v>1346</v>
      </c>
      <c r="S718" s="7">
        <v>78613</v>
      </c>
      <c r="T718" s="3">
        <v>42117</v>
      </c>
      <c r="U718" s="3">
        <v>42119</v>
      </c>
      <c r="V718" s="4">
        <v>-373.09</v>
      </c>
      <c r="W718">
        <v>5</v>
      </c>
      <c r="X718">
        <v>699.24</v>
      </c>
      <c r="Y718" s="7">
        <v>89981</v>
      </c>
    </row>
    <row r="719" spans="1:25" ht="12.75" customHeight="1">
      <c r="A719">
        <v>19324</v>
      </c>
      <c r="B719" t="s">
        <v>106</v>
      </c>
      <c r="C719" s="4">
        <v>0.1</v>
      </c>
      <c r="D719" s="8">
        <v>212.6</v>
      </c>
      <c r="E719" s="4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 s="5">
        <v>0.73</v>
      </c>
      <c r="O719" t="s">
        <v>33</v>
      </c>
      <c r="P719" t="s">
        <v>61</v>
      </c>
      <c r="Q719" t="s">
        <v>130</v>
      </c>
      <c r="R719" t="s">
        <v>1346</v>
      </c>
      <c r="S719" s="7">
        <v>78613</v>
      </c>
      <c r="T719" s="3">
        <v>42117</v>
      </c>
      <c r="U719" s="3">
        <v>42119</v>
      </c>
      <c r="V719" s="4">
        <v>-3465.0720000000001</v>
      </c>
      <c r="W719">
        <v>12</v>
      </c>
      <c r="X719">
        <v>2346.0300000000002</v>
      </c>
      <c r="Y719" s="7">
        <v>89981</v>
      </c>
    </row>
    <row r="720" spans="1:25" ht="12.75" customHeight="1">
      <c r="A720">
        <v>23455</v>
      </c>
      <c r="B720" t="s">
        <v>56</v>
      </c>
      <c r="C720" s="4">
        <v>0.04</v>
      </c>
      <c r="D720" s="8">
        <v>2.08</v>
      </c>
      <c r="E720" s="4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 s="5">
        <v>0.36</v>
      </c>
      <c r="O720" t="s">
        <v>33</v>
      </c>
      <c r="P720" t="s">
        <v>61</v>
      </c>
      <c r="Q720" t="s">
        <v>130</v>
      </c>
      <c r="R720" t="s">
        <v>1351</v>
      </c>
      <c r="S720" s="7">
        <v>77530</v>
      </c>
      <c r="T720" s="3">
        <v>42145</v>
      </c>
      <c r="U720" s="3">
        <v>42147</v>
      </c>
      <c r="V720" s="4">
        <v>-11.281500000000001</v>
      </c>
      <c r="W720">
        <v>16</v>
      </c>
      <c r="X720">
        <v>33.770000000000003</v>
      </c>
      <c r="Y720" s="7">
        <v>89982</v>
      </c>
    </row>
    <row r="721" spans="1:25" ht="12.75" customHeight="1">
      <c r="A721">
        <v>23815</v>
      </c>
      <c r="B721" t="s">
        <v>47</v>
      </c>
      <c r="C721" s="4">
        <v>0.06</v>
      </c>
      <c r="D721" s="8">
        <v>80.98</v>
      </c>
      <c r="E721" s="4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 s="5">
        <v>0.81</v>
      </c>
      <c r="O721" t="s">
        <v>33</v>
      </c>
      <c r="P721" t="s">
        <v>61</v>
      </c>
      <c r="Q721" t="s">
        <v>130</v>
      </c>
      <c r="R721" t="s">
        <v>1351</v>
      </c>
      <c r="S721" s="7">
        <v>77530</v>
      </c>
      <c r="T721" s="3">
        <v>42075</v>
      </c>
      <c r="U721" s="3">
        <v>42076</v>
      </c>
      <c r="V721" s="4">
        <v>-218.77</v>
      </c>
      <c r="W721">
        <v>2</v>
      </c>
      <c r="X721">
        <v>172.79</v>
      </c>
      <c r="Y721" s="7">
        <v>89983</v>
      </c>
    </row>
    <row r="722" spans="1:25" ht="12.75" customHeight="1">
      <c r="A722">
        <v>23926</v>
      </c>
      <c r="B722" t="s">
        <v>56</v>
      </c>
      <c r="C722" s="4">
        <v>0.06</v>
      </c>
      <c r="D722" s="8">
        <v>3.95</v>
      </c>
      <c r="E722" s="4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 s="5">
        <v>0.53</v>
      </c>
      <c r="O722" t="s">
        <v>33</v>
      </c>
      <c r="P722" t="s">
        <v>61</v>
      </c>
      <c r="Q722" t="s">
        <v>130</v>
      </c>
      <c r="R722" t="s">
        <v>1351</v>
      </c>
      <c r="S722" s="7">
        <v>77530</v>
      </c>
      <c r="T722" s="3">
        <v>42087</v>
      </c>
      <c r="U722" s="3">
        <v>42088</v>
      </c>
      <c r="V722" s="4">
        <v>-9.68</v>
      </c>
      <c r="W722">
        <v>5</v>
      </c>
      <c r="X722">
        <v>19.66</v>
      </c>
      <c r="Y722" s="7">
        <v>89984</v>
      </c>
    </row>
    <row r="723" spans="1:25" ht="12.75" customHeight="1">
      <c r="A723">
        <v>18131</v>
      </c>
      <c r="B723" t="s">
        <v>56</v>
      </c>
      <c r="C723" s="4">
        <v>0.01</v>
      </c>
      <c r="D723" s="8">
        <v>115.99</v>
      </c>
      <c r="E723" s="4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 s="5">
        <v>0.4</v>
      </c>
      <c r="O723" t="s">
        <v>33</v>
      </c>
      <c r="P723" t="s">
        <v>34</v>
      </c>
      <c r="Q723" t="s">
        <v>255</v>
      </c>
      <c r="R723" t="s">
        <v>287</v>
      </c>
      <c r="S723" s="7">
        <v>80013</v>
      </c>
      <c r="T723" s="3">
        <v>42146</v>
      </c>
      <c r="U723" s="3">
        <v>42147</v>
      </c>
      <c r="V723" s="4">
        <v>-164.39520000000002</v>
      </c>
      <c r="W723">
        <v>5</v>
      </c>
      <c r="X723">
        <v>604.35</v>
      </c>
      <c r="Y723" s="7">
        <v>86535</v>
      </c>
    </row>
    <row r="724" spans="1:25" ht="12.75" customHeight="1">
      <c r="A724">
        <v>18693</v>
      </c>
      <c r="B724" t="s">
        <v>47</v>
      </c>
      <c r="C724" s="4">
        <v>0.04</v>
      </c>
      <c r="D724" s="8">
        <v>2.52</v>
      </c>
      <c r="E724" s="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 s="5">
        <v>0.82</v>
      </c>
      <c r="O724" t="s">
        <v>33</v>
      </c>
      <c r="P724" t="s">
        <v>34</v>
      </c>
      <c r="Q724" t="s">
        <v>255</v>
      </c>
      <c r="R724" t="s">
        <v>287</v>
      </c>
      <c r="S724" s="7">
        <v>80013</v>
      </c>
      <c r="T724" s="3">
        <v>42118</v>
      </c>
      <c r="U724" s="3">
        <v>42118</v>
      </c>
      <c r="V724" s="4">
        <v>-8.2080000000000002</v>
      </c>
      <c r="W724">
        <v>1</v>
      </c>
      <c r="X724">
        <v>3.13</v>
      </c>
      <c r="Y724" s="7">
        <v>86536</v>
      </c>
    </row>
    <row r="725" spans="1:25" ht="12.75" customHeight="1">
      <c r="A725">
        <v>24939</v>
      </c>
      <c r="B725" t="s">
        <v>25</v>
      </c>
      <c r="C725" s="4">
        <v>0.03</v>
      </c>
      <c r="D725" s="8">
        <v>3.69</v>
      </c>
      <c r="E725" s="4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 s="5">
        <v>0.39</v>
      </c>
      <c r="O725" t="s">
        <v>33</v>
      </c>
      <c r="P725" t="s">
        <v>136</v>
      </c>
      <c r="Q725" t="s">
        <v>613</v>
      </c>
      <c r="R725" t="s">
        <v>1359</v>
      </c>
      <c r="S725" s="7">
        <v>40422</v>
      </c>
      <c r="T725" s="3">
        <v>42114</v>
      </c>
      <c r="U725" s="3">
        <v>42114</v>
      </c>
      <c r="V725" s="4">
        <v>-2196.6840000000002</v>
      </c>
      <c r="W725">
        <v>9</v>
      </c>
      <c r="X725">
        <v>38.65</v>
      </c>
      <c r="Y725" s="7">
        <v>86534</v>
      </c>
    </row>
    <row r="726" spans="1:25" ht="12.75" customHeight="1">
      <c r="A726">
        <v>21771</v>
      </c>
      <c r="B726" t="s">
        <v>47</v>
      </c>
      <c r="C726" s="4">
        <v>0.02</v>
      </c>
      <c r="D726" s="8">
        <v>73.98</v>
      </c>
      <c r="E726" s="4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 s="5">
        <v>0.65</v>
      </c>
      <c r="O726" t="s">
        <v>33</v>
      </c>
      <c r="P726" t="s">
        <v>34</v>
      </c>
      <c r="Q726" t="s">
        <v>255</v>
      </c>
      <c r="R726" t="s">
        <v>1361</v>
      </c>
      <c r="S726" s="7">
        <v>80020</v>
      </c>
      <c r="T726" s="3">
        <v>42131</v>
      </c>
      <c r="U726" s="3">
        <v>42134</v>
      </c>
      <c r="V726" s="4">
        <v>43.538000000000011</v>
      </c>
      <c r="W726">
        <v>5</v>
      </c>
      <c r="X726">
        <v>378.23</v>
      </c>
      <c r="Y726" s="7">
        <v>89730</v>
      </c>
    </row>
    <row r="727" spans="1:25" ht="12.75" customHeight="1">
      <c r="A727">
        <v>24559</v>
      </c>
      <c r="B727" t="s">
        <v>47</v>
      </c>
      <c r="C727" s="4">
        <v>0.05</v>
      </c>
      <c r="D727" s="8">
        <v>5.28</v>
      </c>
      <c r="E727" s="4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 s="5">
        <v>0.4</v>
      </c>
      <c r="O727" t="s">
        <v>33</v>
      </c>
      <c r="P727" t="s">
        <v>61</v>
      </c>
      <c r="Q727" t="s">
        <v>304</v>
      </c>
      <c r="R727" t="s">
        <v>1364</v>
      </c>
      <c r="S727" s="7">
        <v>73521</v>
      </c>
      <c r="T727" s="3">
        <v>42166</v>
      </c>
      <c r="U727" s="3">
        <v>42167</v>
      </c>
      <c r="V727" s="4">
        <v>-11.376000000000001</v>
      </c>
      <c r="W727">
        <v>1</v>
      </c>
      <c r="X727">
        <v>7.15</v>
      </c>
      <c r="Y727" s="7">
        <v>89729</v>
      </c>
    </row>
    <row r="728" spans="1:25" ht="12.75" customHeight="1">
      <c r="A728">
        <v>22363</v>
      </c>
      <c r="B728" t="s">
        <v>47</v>
      </c>
      <c r="C728" s="4">
        <v>0.01</v>
      </c>
      <c r="D728" s="8">
        <v>13.99</v>
      </c>
      <c r="E728" s="4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 s="5">
        <v>0.39</v>
      </c>
      <c r="O728" t="s">
        <v>33</v>
      </c>
      <c r="P728" t="s">
        <v>136</v>
      </c>
      <c r="Q728" t="s">
        <v>362</v>
      </c>
      <c r="R728" t="s">
        <v>1367</v>
      </c>
      <c r="S728" s="7">
        <v>33433</v>
      </c>
      <c r="T728" s="3">
        <v>42045</v>
      </c>
      <c r="U728" s="3">
        <v>42046</v>
      </c>
      <c r="V728" s="4">
        <v>533.74199999999996</v>
      </c>
      <c r="W728">
        <v>2</v>
      </c>
      <c r="X728">
        <v>29.85</v>
      </c>
      <c r="Y728" s="7">
        <v>89514</v>
      </c>
    </row>
    <row r="729" spans="1:25" ht="12.75" customHeight="1">
      <c r="A729">
        <v>21848</v>
      </c>
      <c r="B729" t="s">
        <v>37</v>
      </c>
      <c r="C729" s="4">
        <v>0.08</v>
      </c>
      <c r="D729" s="8">
        <v>128.24</v>
      </c>
      <c r="E729" s="4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 s="7">
        <v>33433</v>
      </c>
      <c r="T729" s="3">
        <v>42136</v>
      </c>
      <c r="U729" s="3">
        <v>42137</v>
      </c>
      <c r="V729" s="4">
        <v>-379.34399999999999</v>
      </c>
      <c r="W729">
        <v>3</v>
      </c>
      <c r="X729">
        <v>366.44</v>
      </c>
      <c r="Y729" s="7">
        <v>89515</v>
      </c>
    </row>
    <row r="730" spans="1:25" ht="12.75" customHeight="1">
      <c r="A730">
        <v>21849</v>
      </c>
      <c r="B730" t="s">
        <v>37</v>
      </c>
      <c r="C730" s="4">
        <v>0.04</v>
      </c>
      <c r="D730" s="8">
        <v>5.98</v>
      </c>
      <c r="E730" s="4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 s="5">
        <v>0.75</v>
      </c>
      <c r="O730" t="s">
        <v>33</v>
      </c>
      <c r="P730" t="s">
        <v>136</v>
      </c>
      <c r="Q730" t="s">
        <v>362</v>
      </c>
      <c r="R730" t="s">
        <v>1367</v>
      </c>
      <c r="S730" s="7">
        <v>33433</v>
      </c>
      <c r="T730" s="3">
        <v>42136</v>
      </c>
      <c r="U730" s="3">
        <v>42138</v>
      </c>
      <c r="V730" s="4">
        <v>-1522.3039999999999</v>
      </c>
      <c r="W730">
        <v>11</v>
      </c>
      <c r="X730">
        <v>69.75</v>
      </c>
      <c r="Y730" s="7">
        <v>89515</v>
      </c>
    </row>
    <row r="731" spans="1:25" ht="12.75" customHeight="1">
      <c r="A731">
        <v>19550</v>
      </c>
      <c r="B731" t="s">
        <v>56</v>
      </c>
      <c r="C731" s="4">
        <v>7.0000000000000007E-2</v>
      </c>
      <c r="D731" s="8">
        <v>125.99</v>
      </c>
      <c r="E731" s="4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 s="5">
        <v>0.59</v>
      </c>
      <c r="O731" t="s">
        <v>33</v>
      </c>
      <c r="P731" t="s">
        <v>34</v>
      </c>
      <c r="Q731" t="s">
        <v>45</v>
      </c>
      <c r="R731" t="s">
        <v>1370</v>
      </c>
      <c r="S731" s="7">
        <v>91941</v>
      </c>
      <c r="T731" s="3">
        <v>42103</v>
      </c>
      <c r="U731" s="3">
        <v>42104</v>
      </c>
      <c r="V731" s="4">
        <v>588.24569999999994</v>
      </c>
      <c r="W731">
        <v>8</v>
      </c>
      <c r="X731">
        <v>852.53</v>
      </c>
      <c r="Y731" s="7">
        <v>88410</v>
      </c>
    </row>
    <row r="732" spans="1:25" ht="12.75" customHeight="1">
      <c r="A732">
        <v>19398</v>
      </c>
      <c r="B732" t="s">
        <v>106</v>
      </c>
      <c r="C732" s="4">
        <v>0.1</v>
      </c>
      <c r="D732" s="8">
        <v>34.229999999999997</v>
      </c>
      <c r="E732" s="4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 s="5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 s="7">
        <v>91941</v>
      </c>
      <c r="T732" s="3">
        <v>42125</v>
      </c>
      <c r="U732" s="3">
        <v>42130</v>
      </c>
      <c r="V732" s="4">
        <v>151.56539999999998</v>
      </c>
      <c r="W732">
        <v>7</v>
      </c>
      <c r="X732">
        <v>219.66</v>
      </c>
      <c r="Y732" s="7">
        <v>88411</v>
      </c>
    </row>
    <row r="733" spans="1:25" ht="12.75" customHeight="1">
      <c r="A733">
        <v>20628</v>
      </c>
      <c r="B733" t="s">
        <v>47</v>
      </c>
      <c r="C733" s="4">
        <v>7.0000000000000007E-2</v>
      </c>
      <c r="D733" s="8">
        <v>40.98</v>
      </c>
      <c r="E733" s="4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 s="5">
        <v>0.37</v>
      </c>
      <c r="O733" t="s">
        <v>33</v>
      </c>
      <c r="P733" t="s">
        <v>61</v>
      </c>
      <c r="Q733" t="s">
        <v>703</v>
      </c>
      <c r="R733" t="s">
        <v>1374</v>
      </c>
      <c r="S733" s="7">
        <v>46324</v>
      </c>
      <c r="T733" s="3">
        <v>42064</v>
      </c>
      <c r="U733" s="3">
        <v>42065</v>
      </c>
      <c r="V733" s="4">
        <v>54.901500000000006</v>
      </c>
      <c r="W733">
        <v>2</v>
      </c>
      <c r="X733">
        <v>81.900000000000006</v>
      </c>
      <c r="Y733" s="7">
        <v>90114</v>
      </c>
    </row>
    <row r="734" spans="1:25" ht="12.75" customHeight="1">
      <c r="A734">
        <v>25005</v>
      </c>
      <c r="B734" t="s">
        <v>37</v>
      </c>
      <c r="C734" s="4">
        <v>0</v>
      </c>
      <c r="D734" s="8">
        <v>442.14</v>
      </c>
      <c r="E734" s="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 s="5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 s="7">
        <v>46324</v>
      </c>
      <c r="T734" s="3">
        <v>42068</v>
      </c>
      <c r="U734" s="3">
        <v>42068</v>
      </c>
      <c r="V734" s="4">
        <v>501.51</v>
      </c>
      <c r="W734">
        <v>5</v>
      </c>
      <c r="X734">
        <v>2343.34</v>
      </c>
      <c r="Y734" s="7">
        <v>90115</v>
      </c>
    </row>
    <row r="735" spans="1:25" ht="12.75" customHeight="1">
      <c r="A735">
        <v>2628</v>
      </c>
      <c r="B735" t="s">
        <v>47</v>
      </c>
      <c r="C735" s="4">
        <v>7.0000000000000007E-2</v>
      </c>
      <c r="D735" s="8">
        <v>40.98</v>
      </c>
      <c r="E735" s="4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 s="5">
        <v>0.37</v>
      </c>
      <c r="O735" t="s">
        <v>33</v>
      </c>
      <c r="P735" t="s">
        <v>34</v>
      </c>
      <c r="Q735" t="s">
        <v>35</v>
      </c>
      <c r="R735" t="s">
        <v>209</v>
      </c>
      <c r="S735" s="7">
        <v>98119</v>
      </c>
      <c r="T735" s="3">
        <v>42064</v>
      </c>
      <c r="U735" s="3">
        <v>42065</v>
      </c>
      <c r="V735" s="4">
        <v>54.901500000000006</v>
      </c>
      <c r="W735">
        <v>8</v>
      </c>
      <c r="X735">
        <v>327.61</v>
      </c>
      <c r="Y735" s="7">
        <v>19042</v>
      </c>
    </row>
    <row r="736" spans="1:25" ht="12.75" customHeight="1">
      <c r="A736">
        <v>22125</v>
      </c>
      <c r="B736" t="s">
        <v>106</v>
      </c>
      <c r="C736" s="4">
        <v>0.1</v>
      </c>
      <c r="D736" s="8">
        <v>238.4</v>
      </c>
      <c r="E736" s="4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 s="7">
        <v>47591</v>
      </c>
      <c r="T736" s="3">
        <v>42028</v>
      </c>
      <c r="U736" s="3">
        <v>42030</v>
      </c>
      <c r="V736" s="4">
        <v>875.28440000000001</v>
      </c>
      <c r="W736">
        <v>8</v>
      </c>
      <c r="X736">
        <v>1774.5</v>
      </c>
      <c r="Y736" s="7">
        <v>89112</v>
      </c>
    </row>
    <row r="737" spans="1:25" ht="12.75" customHeight="1">
      <c r="A737">
        <v>22126</v>
      </c>
      <c r="B737" t="s">
        <v>106</v>
      </c>
      <c r="C737" s="4">
        <v>0.03</v>
      </c>
      <c r="D737" s="8">
        <v>199.99</v>
      </c>
      <c r="E737" s="4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 s="5">
        <v>0.46</v>
      </c>
      <c r="O737" t="s">
        <v>33</v>
      </c>
      <c r="P737" t="s">
        <v>61</v>
      </c>
      <c r="Q737" t="s">
        <v>703</v>
      </c>
      <c r="R737" t="s">
        <v>1378</v>
      </c>
      <c r="S737" s="7">
        <v>47591</v>
      </c>
      <c r="T737" s="3">
        <v>42028</v>
      </c>
      <c r="U737" s="3">
        <v>42030</v>
      </c>
      <c r="V737" s="4">
        <v>727.73609999999996</v>
      </c>
      <c r="W737">
        <v>5</v>
      </c>
      <c r="X737">
        <v>1054.69</v>
      </c>
      <c r="Y737" s="7">
        <v>89112</v>
      </c>
    </row>
    <row r="738" spans="1:25" ht="12.75" customHeight="1">
      <c r="A738">
        <v>4125</v>
      </c>
      <c r="B738" t="s">
        <v>106</v>
      </c>
      <c r="C738" s="4">
        <v>0.1</v>
      </c>
      <c r="D738" s="8">
        <v>238.4</v>
      </c>
      <c r="E738" s="4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 s="7">
        <v>19134</v>
      </c>
      <c r="T738" s="3">
        <v>42028</v>
      </c>
      <c r="U738" s="3">
        <v>42030</v>
      </c>
      <c r="V738" s="4">
        <v>460.67600000000004</v>
      </c>
      <c r="W738">
        <v>30</v>
      </c>
      <c r="X738">
        <v>6654.39</v>
      </c>
      <c r="Y738" s="7">
        <v>29319</v>
      </c>
    </row>
    <row r="739" spans="1:25" ht="12.75" customHeight="1">
      <c r="A739">
        <v>4126</v>
      </c>
      <c r="B739" t="s">
        <v>106</v>
      </c>
      <c r="C739" s="4">
        <v>0.03</v>
      </c>
      <c r="D739" s="8">
        <v>199.99</v>
      </c>
      <c r="E739" s="4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 s="5">
        <v>0.46</v>
      </c>
      <c r="O739" t="s">
        <v>33</v>
      </c>
      <c r="P739" t="s">
        <v>53</v>
      </c>
      <c r="Q739" t="s">
        <v>234</v>
      </c>
      <c r="R739" t="s">
        <v>1319</v>
      </c>
      <c r="S739" s="7">
        <v>19134</v>
      </c>
      <c r="T739" s="3">
        <v>42028</v>
      </c>
      <c r="U739" s="3">
        <v>42030</v>
      </c>
      <c r="V739" s="4">
        <v>393.41999999999996</v>
      </c>
      <c r="W739">
        <v>21</v>
      </c>
      <c r="X739">
        <v>4429.6899999999996</v>
      </c>
      <c r="Y739" s="7">
        <v>29319</v>
      </c>
    </row>
    <row r="740" spans="1:25" ht="12.75" customHeight="1">
      <c r="A740">
        <v>19990</v>
      </c>
      <c r="B740" t="s">
        <v>37</v>
      </c>
      <c r="C740" s="4">
        <v>0.04</v>
      </c>
      <c r="D740" s="8">
        <v>150.97999999999999</v>
      </c>
      <c r="E740" s="4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 s="5">
        <v>0.38</v>
      </c>
      <c r="O740" t="s">
        <v>33</v>
      </c>
      <c r="P740" t="s">
        <v>61</v>
      </c>
      <c r="Q740" t="s">
        <v>130</v>
      </c>
      <c r="R740" t="s">
        <v>1321</v>
      </c>
      <c r="S740" s="7">
        <v>75482</v>
      </c>
      <c r="T740" s="3">
        <v>42047</v>
      </c>
      <c r="U740" s="3">
        <v>42050</v>
      </c>
      <c r="V740" s="4">
        <v>606.05459999999994</v>
      </c>
      <c r="W740">
        <v>6</v>
      </c>
      <c r="X740">
        <v>878.34</v>
      </c>
      <c r="Y740" s="7">
        <v>90662</v>
      </c>
    </row>
    <row r="741" spans="1:25" ht="12.75" customHeight="1">
      <c r="A741">
        <v>19991</v>
      </c>
      <c r="B741" t="s">
        <v>37</v>
      </c>
      <c r="C741" s="4">
        <v>0.04</v>
      </c>
      <c r="D741" s="8">
        <v>176.19</v>
      </c>
      <c r="E741" s="4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 s="5">
        <v>0.62</v>
      </c>
      <c r="O741" t="s">
        <v>33</v>
      </c>
      <c r="P741" t="s">
        <v>61</v>
      </c>
      <c r="Q741" t="s">
        <v>130</v>
      </c>
      <c r="R741" t="s">
        <v>1321</v>
      </c>
      <c r="S741" s="7">
        <v>75482</v>
      </c>
      <c r="T741" s="3">
        <v>42047</v>
      </c>
      <c r="U741" s="3">
        <v>42049</v>
      </c>
      <c r="V741" s="4">
        <v>320.10000000000002</v>
      </c>
      <c r="W741">
        <v>4</v>
      </c>
      <c r="X741">
        <v>676.57</v>
      </c>
      <c r="Y741" s="7">
        <v>90662</v>
      </c>
    </row>
    <row r="742" spans="1:25" ht="12.75" customHeight="1">
      <c r="A742">
        <v>23120</v>
      </c>
      <c r="B742" t="s">
        <v>25</v>
      </c>
      <c r="C742" s="4">
        <v>0.03</v>
      </c>
      <c r="D742" s="8">
        <v>39.479999999999997</v>
      </c>
      <c r="E742" s="4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 s="5">
        <v>0.54</v>
      </c>
      <c r="O742" t="s">
        <v>33</v>
      </c>
      <c r="P742" t="s">
        <v>34</v>
      </c>
      <c r="Q742" t="s">
        <v>212</v>
      </c>
      <c r="R742" t="s">
        <v>1384</v>
      </c>
      <c r="S742" s="7">
        <v>84074</v>
      </c>
      <c r="T742" s="3">
        <v>42054</v>
      </c>
      <c r="U742" s="3">
        <v>42056</v>
      </c>
      <c r="V742" s="4">
        <v>317.08949999999999</v>
      </c>
      <c r="W742">
        <v>12</v>
      </c>
      <c r="X742">
        <v>459.55</v>
      </c>
      <c r="Y742" s="7">
        <v>87003</v>
      </c>
    </row>
    <row r="743" spans="1:25" ht="12.75" customHeight="1">
      <c r="A743">
        <v>20652</v>
      </c>
      <c r="B743" t="s">
        <v>106</v>
      </c>
      <c r="C743" s="4">
        <v>0.01</v>
      </c>
      <c r="D743" s="8">
        <v>65.989999999999995</v>
      </c>
      <c r="E743" s="4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 s="5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 s="7">
        <v>84074</v>
      </c>
      <c r="T743" s="3">
        <v>42054</v>
      </c>
      <c r="U743" s="3">
        <v>42061</v>
      </c>
      <c r="V743" s="4">
        <v>250.36272000000002</v>
      </c>
      <c r="W743">
        <v>9</v>
      </c>
      <c r="X743">
        <v>536.9</v>
      </c>
      <c r="Y743" s="7">
        <v>87005</v>
      </c>
    </row>
    <row r="744" spans="1:25" ht="12.75" customHeight="1">
      <c r="A744">
        <v>25092</v>
      </c>
      <c r="B744" t="s">
        <v>56</v>
      </c>
      <c r="C744" s="4">
        <v>0.08</v>
      </c>
      <c r="D744" s="8">
        <v>2.88</v>
      </c>
      <c r="E744" s="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 s="5">
        <v>0.39</v>
      </c>
      <c r="O744" t="s">
        <v>33</v>
      </c>
      <c r="P744" t="s">
        <v>34</v>
      </c>
      <c r="Q744" t="s">
        <v>212</v>
      </c>
      <c r="R744" t="s">
        <v>1388</v>
      </c>
      <c r="S744" s="7">
        <v>84084</v>
      </c>
      <c r="T744" s="3">
        <v>42117</v>
      </c>
      <c r="U744" s="3">
        <v>42118</v>
      </c>
      <c r="V744" s="4">
        <v>6.0305999999999997</v>
      </c>
      <c r="W744">
        <v>3</v>
      </c>
      <c r="X744">
        <v>8.74</v>
      </c>
      <c r="Y744" s="7">
        <v>87004</v>
      </c>
    </row>
    <row r="745" spans="1:25" ht="12.75" customHeight="1">
      <c r="A745">
        <v>26274</v>
      </c>
      <c r="B745" t="s">
        <v>25</v>
      </c>
      <c r="C745" s="4">
        <v>0.04</v>
      </c>
      <c r="D745" s="8">
        <v>62.18</v>
      </c>
      <c r="E745" s="4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 s="5">
        <v>0.63</v>
      </c>
      <c r="O745" t="s">
        <v>33</v>
      </c>
      <c r="P745" t="s">
        <v>34</v>
      </c>
      <c r="Q745" t="s">
        <v>212</v>
      </c>
      <c r="R745" t="s">
        <v>1391</v>
      </c>
      <c r="S745" s="7">
        <v>84120</v>
      </c>
      <c r="T745" s="3">
        <v>42052</v>
      </c>
      <c r="U745" s="3">
        <v>42054</v>
      </c>
      <c r="V745" s="4">
        <v>125.8077</v>
      </c>
      <c r="W745">
        <v>3</v>
      </c>
      <c r="X745">
        <v>182.33</v>
      </c>
      <c r="Y745" s="7">
        <v>87002</v>
      </c>
    </row>
    <row r="746" spans="1:25" ht="12.75" customHeight="1">
      <c r="A746">
        <v>22832</v>
      </c>
      <c r="B746" t="s">
        <v>106</v>
      </c>
      <c r="C746" s="4">
        <v>0.04</v>
      </c>
      <c r="D746" s="8">
        <v>8.33</v>
      </c>
      <c r="E746" s="4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 s="5">
        <v>0.52</v>
      </c>
      <c r="O746" t="s">
        <v>33</v>
      </c>
      <c r="P746" t="s">
        <v>34</v>
      </c>
      <c r="Q746" t="s">
        <v>102</v>
      </c>
      <c r="R746" t="s">
        <v>1393</v>
      </c>
      <c r="S746" s="7">
        <v>97420</v>
      </c>
      <c r="T746" s="3">
        <v>42185</v>
      </c>
      <c r="U746" s="3">
        <v>42192</v>
      </c>
      <c r="V746" s="4">
        <v>44.891999999999996</v>
      </c>
      <c r="W746">
        <v>16</v>
      </c>
      <c r="X746">
        <v>131.26</v>
      </c>
      <c r="Y746" s="7">
        <v>91451</v>
      </c>
    </row>
    <row r="747" spans="1:25" ht="12.75" customHeight="1">
      <c r="A747">
        <v>3167</v>
      </c>
      <c r="B747" t="s">
        <v>56</v>
      </c>
      <c r="C747" s="4">
        <v>0.04</v>
      </c>
      <c r="D747" s="8">
        <v>5.34</v>
      </c>
      <c r="E747" s="4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 s="5">
        <v>0.38</v>
      </c>
      <c r="O747" t="s">
        <v>33</v>
      </c>
      <c r="P747" t="s">
        <v>34</v>
      </c>
      <c r="Q747" t="s">
        <v>45</v>
      </c>
      <c r="R747" t="s">
        <v>663</v>
      </c>
      <c r="S747" s="7">
        <v>90058</v>
      </c>
      <c r="T747" s="3">
        <v>42093</v>
      </c>
      <c r="U747" s="3">
        <v>42095</v>
      </c>
      <c r="V747" s="4">
        <v>3.4509999999999996</v>
      </c>
      <c r="W747">
        <v>45</v>
      </c>
      <c r="X747">
        <v>240.6</v>
      </c>
      <c r="Y747" s="7">
        <v>22755</v>
      </c>
    </row>
    <row r="748" spans="1:25" ht="12.75" customHeight="1">
      <c r="A748">
        <v>3168</v>
      </c>
      <c r="B748" t="s">
        <v>56</v>
      </c>
      <c r="C748" s="4">
        <v>0.06</v>
      </c>
      <c r="D748" s="8">
        <v>55.99</v>
      </c>
      <c r="E748" s="4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 s="5">
        <v>0.8</v>
      </c>
      <c r="O748" t="s">
        <v>33</v>
      </c>
      <c r="P748" t="s">
        <v>34</v>
      </c>
      <c r="Q748" t="s">
        <v>45</v>
      </c>
      <c r="R748" t="s">
        <v>663</v>
      </c>
      <c r="S748" s="7">
        <v>90058</v>
      </c>
      <c r="T748" s="3">
        <v>42093</v>
      </c>
      <c r="U748" s="3">
        <v>42095</v>
      </c>
      <c r="V748" s="4">
        <v>-275.25299999999999</v>
      </c>
      <c r="W748">
        <v>5</v>
      </c>
      <c r="X748">
        <v>236.88</v>
      </c>
      <c r="Y748" s="7">
        <v>22755</v>
      </c>
    </row>
    <row r="749" spans="1:25" ht="12.75" customHeight="1">
      <c r="A749">
        <v>3791</v>
      </c>
      <c r="B749" t="s">
        <v>106</v>
      </c>
      <c r="C749" s="4">
        <v>0.05</v>
      </c>
      <c r="D749" s="8">
        <v>80.98</v>
      </c>
      <c r="E749" s="4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 s="5">
        <v>0.81</v>
      </c>
      <c r="O749" t="s">
        <v>33</v>
      </c>
      <c r="P749" t="s">
        <v>34</v>
      </c>
      <c r="Q749" t="s">
        <v>45</v>
      </c>
      <c r="R749" t="s">
        <v>663</v>
      </c>
      <c r="S749" s="7">
        <v>90058</v>
      </c>
      <c r="T749" s="3">
        <v>42009</v>
      </c>
      <c r="U749" s="3">
        <v>42013</v>
      </c>
      <c r="V749" s="4">
        <v>-746.44</v>
      </c>
      <c r="W749">
        <v>34</v>
      </c>
      <c r="X749">
        <v>2710.47</v>
      </c>
      <c r="Y749" s="7">
        <v>27013</v>
      </c>
    </row>
    <row r="750" spans="1:25" ht="12.75" customHeight="1">
      <c r="A750">
        <v>3792</v>
      </c>
      <c r="B750" t="s">
        <v>106</v>
      </c>
      <c r="C750" s="4">
        <v>0.05</v>
      </c>
      <c r="D750" s="8">
        <v>279.48</v>
      </c>
      <c r="E750" s="4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 s="5">
        <v>0.8</v>
      </c>
      <c r="O750" t="s">
        <v>33</v>
      </c>
      <c r="P750" t="s">
        <v>34</v>
      </c>
      <c r="Q750" t="s">
        <v>45</v>
      </c>
      <c r="R750" t="s">
        <v>663</v>
      </c>
      <c r="S750" s="7">
        <v>90058</v>
      </c>
      <c r="T750" s="3">
        <v>42009</v>
      </c>
      <c r="U750" s="3">
        <v>42009</v>
      </c>
      <c r="V750" s="4">
        <v>-274.95</v>
      </c>
      <c r="W750">
        <v>31</v>
      </c>
      <c r="X750">
        <v>8354.73</v>
      </c>
      <c r="Y750" s="7">
        <v>27013</v>
      </c>
    </row>
    <row r="751" spans="1:25" ht="12.75" customHeight="1">
      <c r="A751">
        <v>21166</v>
      </c>
      <c r="B751" t="s">
        <v>56</v>
      </c>
      <c r="C751" s="4">
        <v>0</v>
      </c>
      <c r="D751" s="8">
        <v>4.91</v>
      </c>
      <c r="E751" s="4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 s="5">
        <v>0.36</v>
      </c>
      <c r="O751" t="s">
        <v>33</v>
      </c>
      <c r="P751" t="s">
        <v>34</v>
      </c>
      <c r="Q751" t="s">
        <v>255</v>
      </c>
      <c r="R751" t="s">
        <v>1397</v>
      </c>
      <c r="S751" s="7">
        <v>80906</v>
      </c>
      <c r="T751" s="3">
        <v>42093</v>
      </c>
      <c r="U751" s="3">
        <v>42094</v>
      </c>
      <c r="V751" s="4">
        <v>-95.047499999999999</v>
      </c>
      <c r="W751">
        <v>9</v>
      </c>
      <c r="X751">
        <v>48.3</v>
      </c>
      <c r="Y751" s="7">
        <v>87602</v>
      </c>
    </row>
    <row r="752" spans="1:25" ht="12.75" customHeight="1">
      <c r="A752">
        <v>21167</v>
      </c>
      <c r="B752" t="s">
        <v>56</v>
      </c>
      <c r="C752" s="4">
        <v>0.04</v>
      </c>
      <c r="D752" s="8">
        <v>5.34</v>
      </c>
      <c r="E752" s="4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 s="5">
        <v>0.38</v>
      </c>
      <c r="O752" t="s">
        <v>33</v>
      </c>
      <c r="P752" t="s">
        <v>34</v>
      </c>
      <c r="Q752" t="s">
        <v>255</v>
      </c>
      <c r="R752" t="s">
        <v>1399</v>
      </c>
      <c r="S752" s="7">
        <v>80022</v>
      </c>
      <c r="T752" s="3">
        <v>42093</v>
      </c>
      <c r="U752" s="3">
        <v>42095</v>
      </c>
      <c r="V752" s="4">
        <v>3.4509999999999996</v>
      </c>
      <c r="W752">
        <v>11</v>
      </c>
      <c r="X752">
        <v>58.81</v>
      </c>
      <c r="Y752" s="7">
        <v>87602</v>
      </c>
    </row>
    <row r="753" spans="1:25" ht="12.75" customHeight="1">
      <c r="A753">
        <v>21168</v>
      </c>
      <c r="B753" t="s">
        <v>56</v>
      </c>
      <c r="C753" s="4">
        <v>0.06</v>
      </c>
      <c r="D753" s="8">
        <v>55.99</v>
      </c>
      <c r="E753" s="4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 s="5">
        <v>0.8</v>
      </c>
      <c r="O753" t="s">
        <v>33</v>
      </c>
      <c r="P753" t="s">
        <v>34</v>
      </c>
      <c r="Q753" t="s">
        <v>255</v>
      </c>
      <c r="R753" t="s">
        <v>1399</v>
      </c>
      <c r="S753" s="7">
        <v>80022</v>
      </c>
      <c r="T753" s="3">
        <v>42093</v>
      </c>
      <c r="U753" s="3">
        <v>42095</v>
      </c>
      <c r="V753" s="4">
        <v>-275.25299999999999</v>
      </c>
      <c r="W753">
        <v>1</v>
      </c>
      <c r="X753">
        <v>47.38</v>
      </c>
      <c r="Y753" s="7">
        <v>87602</v>
      </c>
    </row>
    <row r="754" spans="1:25" ht="12.75" customHeight="1">
      <c r="A754">
        <v>21791</v>
      </c>
      <c r="B754" t="s">
        <v>106</v>
      </c>
      <c r="C754" s="4">
        <v>0.05</v>
      </c>
      <c r="D754" s="8">
        <v>80.98</v>
      </c>
      <c r="E754" s="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 s="5">
        <v>0.81</v>
      </c>
      <c r="O754" t="s">
        <v>33</v>
      </c>
      <c r="P754" t="s">
        <v>34</v>
      </c>
      <c r="Q754" t="s">
        <v>255</v>
      </c>
      <c r="R754" t="s">
        <v>1399</v>
      </c>
      <c r="S754" s="7">
        <v>80022</v>
      </c>
      <c r="T754" s="3">
        <v>42009</v>
      </c>
      <c r="U754" s="3">
        <v>42013</v>
      </c>
      <c r="V754" s="4">
        <v>-746.44</v>
      </c>
      <c r="W754">
        <v>8</v>
      </c>
      <c r="X754">
        <v>637.76</v>
      </c>
      <c r="Y754" s="7">
        <v>87603</v>
      </c>
    </row>
    <row r="755" spans="1:25" ht="12.75" customHeight="1">
      <c r="A755">
        <v>21792</v>
      </c>
      <c r="B755" t="s">
        <v>106</v>
      </c>
      <c r="C755" s="4">
        <v>0.05</v>
      </c>
      <c r="D755" s="8">
        <v>279.48</v>
      </c>
      <c r="E755" s="4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 s="5">
        <v>0.8</v>
      </c>
      <c r="O755" t="s">
        <v>33</v>
      </c>
      <c r="P755" t="s">
        <v>34</v>
      </c>
      <c r="Q755" t="s">
        <v>255</v>
      </c>
      <c r="R755" t="s">
        <v>1399</v>
      </c>
      <c r="S755" s="7">
        <v>80022</v>
      </c>
      <c r="T755" s="3">
        <v>42009</v>
      </c>
      <c r="U755" s="3">
        <v>42009</v>
      </c>
      <c r="V755" s="4">
        <v>-274.95</v>
      </c>
      <c r="W755">
        <v>8</v>
      </c>
      <c r="X755">
        <v>2156.06</v>
      </c>
      <c r="Y755" s="7">
        <v>87603</v>
      </c>
    </row>
    <row r="756" spans="1:25" ht="12.75" customHeight="1">
      <c r="A756">
        <v>21006</v>
      </c>
      <c r="B756" t="s">
        <v>106</v>
      </c>
      <c r="C756" s="4">
        <v>0.02</v>
      </c>
      <c r="D756" s="8">
        <v>55.99</v>
      </c>
      <c r="E756" s="4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 s="5">
        <v>0.59</v>
      </c>
      <c r="O756" t="s">
        <v>33</v>
      </c>
      <c r="P756" t="s">
        <v>61</v>
      </c>
      <c r="Q756" t="s">
        <v>178</v>
      </c>
      <c r="R756" t="s">
        <v>179</v>
      </c>
      <c r="S756" s="7">
        <v>60623</v>
      </c>
      <c r="T756" s="3">
        <v>42045</v>
      </c>
      <c r="U756" s="3">
        <v>42045</v>
      </c>
      <c r="V756" s="4">
        <v>525.20039999999995</v>
      </c>
      <c r="W756">
        <v>16</v>
      </c>
      <c r="X756">
        <v>761.16</v>
      </c>
      <c r="Y756" s="7">
        <v>91244</v>
      </c>
    </row>
    <row r="757" spans="1:25" ht="12.75" customHeight="1">
      <c r="A757">
        <v>3004</v>
      </c>
      <c r="B757" t="s">
        <v>106</v>
      </c>
      <c r="C757" s="4">
        <v>0</v>
      </c>
      <c r="D757" s="8">
        <v>22.38</v>
      </c>
      <c r="E757" s="4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 s="5">
        <v>0.38</v>
      </c>
      <c r="O757" t="s">
        <v>33</v>
      </c>
      <c r="P757" t="s">
        <v>53</v>
      </c>
      <c r="Q757" t="s">
        <v>71</v>
      </c>
      <c r="R757" t="s">
        <v>90</v>
      </c>
      <c r="S757" s="7">
        <v>10170</v>
      </c>
      <c r="T757" s="3">
        <v>42045</v>
      </c>
      <c r="U757" s="3">
        <v>42052</v>
      </c>
      <c r="V757" s="4">
        <v>-52.646999999999998</v>
      </c>
      <c r="W757">
        <v>29</v>
      </c>
      <c r="X757">
        <v>682.68</v>
      </c>
      <c r="Y757" s="7">
        <v>21636</v>
      </c>
    </row>
    <row r="758" spans="1:25" ht="12.75" customHeight="1">
      <c r="A758">
        <v>3005</v>
      </c>
      <c r="B758" t="s">
        <v>106</v>
      </c>
      <c r="C758" s="4">
        <v>7.0000000000000007E-2</v>
      </c>
      <c r="D758" s="8">
        <v>5.98</v>
      </c>
      <c r="E758" s="4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 s="5">
        <v>0.68</v>
      </c>
      <c r="O758" t="s">
        <v>33</v>
      </c>
      <c r="P758" t="s">
        <v>53</v>
      </c>
      <c r="Q758" t="s">
        <v>71</v>
      </c>
      <c r="R758" t="s">
        <v>90</v>
      </c>
      <c r="S758" s="7">
        <v>10170</v>
      </c>
      <c r="T758" s="3">
        <v>42045</v>
      </c>
      <c r="U758" s="3">
        <v>42050</v>
      </c>
      <c r="V758" s="4">
        <v>-24.44</v>
      </c>
      <c r="W758">
        <v>11</v>
      </c>
      <c r="X758">
        <v>73.44</v>
      </c>
      <c r="Y758" s="7">
        <v>21636</v>
      </c>
    </row>
    <row r="759" spans="1:25" ht="12.75" customHeight="1">
      <c r="A759">
        <v>3006</v>
      </c>
      <c r="B759" t="s">
        <v>106</v>
      </c>
      <c r="C759" s="4">
        <v>0.02</v>
      </c>
      <c r="D759" s="8">
        <v>55.99</v>
      </c>
      <c r="E759" s="4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 s="5">
        <v>0.59</v>
      </c>
      <c r="O759" t="s">
        <v>33</v>
      </c>
      <c r="P759" t="s">
        <v>53</v>
      </c>
      <c r="Q759" t="s">
        <v>71</v>
      </c>
      <c r="R759" t="s">
        <v>90</v>
      </c>
      <c r="S759" s="7">
        <v>10170</v>
      </c>
      <c r="T759" s="3">
        <v>42045</v>
      </c>
      <c r="U759" s="3">
        <v>42045</v>
      </c>
      <c r="V759" s="4">
        <v>366.50700000000001</v>
      </c>
      <c r="W759">
        <v>63</v>
      </c>
      <c r="X759">
        <v>2997.07</v>
      </c>
      <c r="Y759" s="7">
        <v>21636</v>
      </c>
    </row>
    <row r="760" spans="1:25" ht="12.75" customHeight="1">
      <c r="A760">
        <v>3431</v>
      </c>
      <c r="B760" t="s">
        <v>37</v>
      </c>
      <c r="C760" s="4">
        <v>7.0000000000000007E-2</v>
      </c>
      <c r="D760" s="8">
        <v>3.98</v>
      </c>
      <c r="E760" s="4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 s="5">
        <v>0.51</v>
      </c>
      <c r="O760" t="s">
        <v>33</v>
      </c>
      <c r="P760" t="s">
        <v>53</v>
      </c>
      <c r="Q760" t="s">
        <v>71</v>
      </c>
      <c r="R760" t="s">
        <v>90</v>
      </c>
      <c r="S760" s="7">
        <v>10170</v>
      </c>
      <c r="T760" s="3">
        <v>42161</v>
      </c>
      <c r="U760" s="3">
        <v>42164</v>
      </c>
      <c r="V760" s="4">
        <v>27.38</v>
      </c>
      <c r="W760">
        <v>76</v>
      </c>
      <c r="X760">
        <v>282.85000000000002</v>
      </c>
      <c r="Y760" s="7">
        <v>24455</v>
      </c>
    </row>
    <row r="761" spans="1:25" ht="12.75" customHeight="1">
      <c r="A761">
        <v>21005</v>
      </c>
      <c r="B761" t="s">
        <v>106</v>
      </c>
      <c r="C761" s="4">
        <v>7.0000000000000007E-2</v>
      </c>
      <c r="D761" s="8">
        <v>5.98</v>
      </c>
      <c r="E761" s="4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 s="5">
        <v>0.68</v>
      </c>
      <c r="O761" t="s">
        <v>33</v>
      </c>
      <c r="P761" t="s">
        <v>53</v>
      </c>
      <c r="Q761" t="s">
        <v>234</v>
      </c>
      <c r="R761" t="s">
        <v>1406</v>
      </c>
      <c r="S761" s="7">
        <v>17201</v>
      </c>
      <c r="T761" s="3">
        <v>42045</v>
      </c>
      <c r="U761" s="3">
        <v>42050</v>
      </c>
      <c r="V761" s="4">
        <v>-12.708800000000002</v>
      </c>
      <c r="W761">
        <v>3</v>
      </c>
      <c r="X761">
        <v>20.03</v>
      </c>
      <c r="Y761" s="7">
        <v>91244</v>
      </c>
    </row>
    <row r="762" spans="1:25" ht="12.75" customHeight="1">
      <c r="A762">
        <v>21430</v>
      </c>
      <c r="B762" t="s">
        <v>37</v>
      </c>
      <c r="C762" s="4">
        <v>0</v>
      </c>
      <c r="D762" s="8">
        <v>20.89</v>
      </c>
      <c r="E762" s="4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 s="5">
        <v>0.48</v>
      </c>
      <c r="O762" t="s">
        <v>33</v>
      </c>
      <c r="P762" t="s">
        <v>53</v>
      </c>
      <c r="Q762" t="s">
        <v>234</v>
      </c>
      <c r="R762" t="s">
        <v>1406</v>
      </c>
      <c r="S762" s="7">
        <v>17201</v>
      </c>
      <c r="T762" s="3">
        <v>42161</v>
      </c>
      <c r="U762" s="3">
        <v>42163</v>
      </c>
      <c r="V762" s="4">
        <v>-5.2949999999999999</v>
      </c>
      <c r="W762">
        <v>4</v>
      </c>
      <c r="X762">
        <v>84.56</v>
      </c>
      <c r="Y762" s="7">
        <v>91245</v>
      </c>
    </row>
    <row r="763" spans="1:25" ht="12.75" customHeight="1">
      <c r="A763">
        <v>21431</v>
      </c>
      <c r="B763" t="s">
        <v>37</v>
      </c>
      <c r="C763" s="4">
        <v>7.0000000000000007E-2</v>
      </c>
      <c r="D763" s="8">
        <v>3.98</v>
      </c>
      <c r="E763" s="4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 s="5">
        <v>0.51</v>
      </c>
      <c r="O763" t="s">
        <v>33</v>
      </c>
      <c r="P763" t="s">
        <v>53</v>
      </c>
      <c r="Q763" t="s">
        <v>234</v>
      </c>
      <c r="R763" t="s">
        <v>1406</v>
      </c>
      <c r="S763" s="7">
        <v>17201</v>
      </c>
      <c r="T763" s="3">
        <v>42161</v>
      </c>
      <c r="U763" s="3">
        <v>42164</v>
      </c>
      <c r="V763" s="4">
        <v>41.07</v>
      </c>
      <c r="W763">
        <v>19</v>
      </c>
      <c r="X763">
        <v>70.709999999999994</v>
      </c>
      <c r="Y763" s="7">
        <v>91245</v>
      </c>
    </row>
    <row r="764" spans="1:25" ht="12.75" customHeight="1">
      <c r="A764">
        <v>20804</v>
      </c>
      <c r="B764" t="s">
        <v>106</v>
      </c>
      <c r="C764" s="4">
        <v>0.1</v>
      </c>
      <c r="D764" s="8">
        <v>2.62</v>
      </c>
      <c r="E764" s="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 s="5">
        <v>0.39</v>
      </c>
      <c r="O764" t="s">
        <v>33</v>
      </c>
      <c r="P764" t="s">
        <v>136</v>
      </c>
      <c r="Q764" t="s">
        <v>362</v>
      </c>
      <c r="R764" t="s">
        <v>1410</v>
      </c>
      <c r="S764" s="7">
        <v>33511</v>
      </c>
      <c r="T764" s="3">
        <v>42124</v>
      </c>
      <c r="U764" s="3">
        <v>42130</v>
      </c>
      <c r="V764" s="4">
        <v>-94.490899999999996</v>
      </c>
      <c r="W764">
        <v>21</v>
      </c>
      <c r="X764">
        <v>51.86</v>
      </c>
      <c r="Y764" s="7">
        <v>89686</v>
      </c>
    </row>
    <row r="765" spans="1:25" ht="12.75" customHeight="1">
      <c r="A765">
        <v>22414</v>
      </c>
      <c r="B765" t="s">
        <v>25</v>
      </c>
      <c r="C765" s="4">
        <v>0</v>
      </c>
      <c r="D765" s="8">
        <v>12.2</v>
      </c>
      <c r="E765" s="4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 s="5">
        <v>0.43</v>
      </c>
      <c r="O765" t="s">
        <v>33</v>
      </c>
      <c r="P765" t="s">
        <v>136</v>
      </c>
      <c r="Q765" t="s">
        <v>362</v>
      </c>
      <c r="R765" t="s">
        <v>1413</v>
      </c>
      <c r="S765" s="7">
        <v>33055</v>
      </c>
      <c r="T765" s="3">
        <v>42111</v>
      </c>
      <c r="U765" s="3">
        <v>42112</v>
      </c>
      <c r="V765" s="4">
        <v>-172.298</v>
      </c>
      <c r="W765">
        <v>4</v>
      </c>
      <c r="X765">
        <v>56.24</v>
      </c>
      <c r="Y765" s="7">
        <v>88233</v>
      </c>
    </row>
    <row r="766" spans="1:25" ht="12.75" customHeight="1">
      <c r="A766">
        <v>18499</v>
      </c>
      <c r="B766" t="s">
        <v>37</v>
      </c>
      <c r="C766" s="4">
        <v>0.1</v>
      </c>
      <c r="D766" s="8">
        <v>110.99</v>
      </c>
      <c r="E766" s="4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 s="5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 s="7">
        <v>33063</v>
      </c>
      <c r="T766" s="3">
        <v>42031</v>
      </c>
      <c r="U766" s="3">
        <v>42033</v>
      </c>
      <c r="V766" s="4">
        <v>3285.48</v>
      </c>
      <c r="W766">
        <v>7</v>
      </c>
      <c r="X766">
        <v>627.78</v>
      </c>
      <c r="Y766" s="7">
        <v>88232</v>
      </c>
    </row>
    <row r="767" spans="1:25" ht="12.75" customHeight="1">
      <c r="A767">
        <v>24232</v>
      </c>
      <c r="B767" t="s">
        <v>25</v>
      </c>
      <c r="C767" s="4">
        <v>0.05</v>
      </c>
      <c r="D767" s="8">
        <v>17.670000000000002</v>
      </c>
      <c r="E767" s="4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 s="5">
        <v>0.47</v>
      </c>
      <c r="O767" t="s">
        <v>33</v>
      </c>
      <c r="P767" t="s">
        <v>53</v>
      </c>
      <c r="Q767" t="s">
        <v>415</v>
      </c>
      <c r="R767" t="s">
        <v>1418</v>
      </c>
      <c r="S767" s="7">
        <v>20746</v>
      </c>
      <c r="T767" s="3">
        <v>42124</v>
      </c>
      <c r="U767" s="3">
        <v>42125</v>
      </c>
      <c r="V767" s="4">
        <v>46.036799999999999</v>
      </c>
      <c r="W767">
        <v>16</v>
      </c>
      <c r="X767">
        <v>283.44</v>
      </c>
      <c r="Y767" s="7">
        <v>88234</v>
      </c>
    </row>
    <row r="768" spans="1:25" ht="12.75" customHeight="1">
      <c r="A768">
        <v>20870</v>
      </c>
      <c r="B768" t="s">
        <v>25</v>
      </c>
      <c r="C768" s="4">
        <v>0.1</v>
      </c>
      <c r="D768" s="8">
        <v>4.13</v>
      </c>
      <c r="E768" s="4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 s="5">
        <v>0.39</v>
      </c>
      <c r="O768" t="s">
        <v>33</v>
      </c>
      <c r="P768" t="s">
        <v>61</v>
      </c>
      <c r="Q768" t="s">
        <v>130</v>
      </c>
      <c r="R768" t="s">
        <v>1421</v>
      </c>
      <c r="S768" s="7">
        <v>76086</v>
      </c>
      <c r="T768" s="3">
        <v>42046</v>
      </c>
      <c r="U768" s="3">
        <v>42046</v>
      </c>
      <c r="V768" s="4">
        <v>-1.0712000000000002</v>
      </c>
      <c r="W768">
        <v>2</v>
      </c>
      <c r="X768">
        <v>8.3000000000000007</v>
      </c>
      <c r="Y768" s="7">
        <v>91209</v>
      </c>
    </row>
    <row r="769" spans="1:25" ht="12.75" customHeight="1">
      <c r="A769">
        <v>20871</v>
      </c>
      <c r="B769" t="s">
        <v>25</v>
      </c>
      <c r="C769" s="4">
        <v>0.04</v>
      </c>
      <c r="D769" s="8">
        <v>4.9800000000000004</v>
      </c>
      <c r="E769" s="4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 s="5">
        <v>0.39</v>
      </c>
      <c r="O769" t="s">
        <v>33</v>
      </c>
      <c r="P769" t="s">
        <v>61</v>
      </c>
      <c r="Q769" t="s">
        <v>130</v>
      </c>
      <c r="R769" t="s">
        <v>1421</v>
      </c>
      <c r="S769" s="7">
        <v>76086</v>
      </c>
      <c r="T769" s="3">
        <v>42046</v>
      </c>
      <c r="U769" s="3">
        <v>42048</v>
      </c>
      <c r="V769" s="4">
        <v>4.4104000000000001</v>
      </c>
      <c r="W769">
        <v>2</v>
      </c>
      <c r="X769">
        <v>10.039999999999999</v>
      </c>
      <c r="Y769" s="7">
        <v>91209</v>
      </c>
    </row>
    <row r="770" spans="1:25" ht="12.75" customHeight="1">
      <c r="A770">
        <v>18733</v>
      </c>
      <c r="B770" t="s">
        <v>56</v>
      </c>
      <c r="C770" s="4">
        <v>0.03</v>
      </c>
      <c r="D770" s="8">
        <v>125.99</v>
      </c>
      <c r="E770" s="4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 s="5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 s="7">
        <v>78596</v>
      </c>
      <c r="T770" s="3">
        <v>42158</v>
      </c>
      <c r="U770" s="3">
        <v>42160</v>
      </c>
      <c r="V770" s="4">
        <v>500.95799999999997</v>
      </c>
      <c r="W770">
        <v>9</v>
      </c>
      <c r="X770">
        <v>981.65</v>
      </c>
      <c r="Y770" s="7">
        <v>88184</v>
      </c>
    </row>
    <row r="771" spans="1:25" ht="12.75" customHeight="1">
      <c r="A771">
        <v>18645</v>
      </c>
      <c r="B771" t="s">
        <v>25</v>
      </c>
      <c r="C771" s="4">
        <v>7.0000000000000007E-2</v>
      </c>
      <c r="D771" s="8">
        <v>119.99</v>
      </c>
      <c r="E771" s="4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 s="5">
        <v>0.35</v>
      </c>
      <c r="O771" t="s">
        <v>33</v>
      </c>
      <c r="P771" t="s">
        <v>61</v>
      </c>
      <c r="Q771" t="s">
        <v>130</v>
      </c>
      <c r="R771" t="s">
        <v>1424</v>
      </c>
      <c r="S771" s="7">
        <v>78596</v>
      </c>
      <c r="T771" s="3">
        <v>42183</v>
      </c>
      <c r="U771" s="3">
        <v>42185</v>
      </c>
      <c r="V771" s="4">
        <v>1206.5961</v>
      </c>
      <c r="W771">
        <v>15</v>
      </c>
      <c r="X771">
        <v>1748.69</v>
      </c>
      <c r="Y771" s="7">
        <v>88185</v>
      </c>
    </row>
    <row r="772" spans="1:25" ht="12.75" customHeight="1">
      <c r="A772">
        <v>20830</v>
      </c>
      <c r="B772" t="s">
        <v>25</v>
      </c>
      <c r="C772" s="4">
        <v>0.03</v>
      </c>
      <c r="D772" s="8">
        <v>14.34</v>
      </c>
      <c r="E772" s="4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 s="5">
        <v>0.49</v>
      </c>
      <c r="O772" t="s">
        <v>33</v>
      </c>
      <c r="P772" t="s">
        <v>61</v>
      </c>
      <c r="Q772" t="s">
        <v>330</v>
      </c>
      <c r="R772" t="s">
        <v>1428</v>
      </c>
      <c r="S772" s="7">
        <v>52761</v>
      </c>
      <c r="T772" s="3">
        <v>42030</v>
      </c>
      <c r="U772" s="3">
        <v>42031</v>
      </c>
      <c r="V772" s="4">
        <v>82.310099999999991</v>
      </c>
      <c r="W772">
        <v>8</v>
      </c>
      <c r="X772">
        <v>119.29</v>
      </c>
      <c r="Y772" s="7">
        <v>89595</v>
      </c>
    </row>
    <row r="773" spans="1:25" ht="12.75" customHeight="1">
      <c r="A773">
        <v>20829</v>
      </c>
      <c r="B773" t="s">
        <v>25</v>
      </c>
      <c r="C773" s="4">
        <v>0.01</v>
      </c>
      <c r="D773" s="8">
        <v>2.89</v>
      </c>
      <c r="E773" s="4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 s="5">
        <v>0.38</v>
      </c>
      <c r="O773" t="s">
        <v>33</v>
      </c>
      <c r="P773" t="s">
        <v>61</v>
      </c>
      <c r="Q773" t="s">
        <v>300</v>
      </c>
      <c r="R773" t="s">
        <v>1430</v>
      </c>
      <c r="S773" s="7">
        <v>48101</v>
      </c>
      <c r="T773" s="3">
        <v>42030</v>
      </c>
      <c r="U773" s="3">
        <v>42032</v>
      </c>
      <c r="V773" s="4">
        <v>1.2236</v>
      </c>
      <c r="W773">
        <v>1</v>
      </c>
      <c r="X773">
        <v>3.08</v>
      </c>
      <c r="Y773" s="7">
        <v>89595</v>
      </c>
    </row>
    <row r="774" spans="1:25" ht="12.75" customHeight="1">
      <c r="A774">
        <v>24432</v>
      </c>
      <c r="B774" t="s">
        <v>47</v>
      </c>
      <c r="C774" s="4">
        <v>0.01</v>
      </c>
      <c r="D774" s="8">
        <v>6.48</v>
      </c>
      <c r="E774" s="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 s="5">
        <v>0.37</v>
      </c>
      <c r="O774" t="s">
        <v>33</v>
      </c>
      <c r="P774" t="s">
        <v>61</v>
      </c>
      <c r="Q774" t="s">
        <v>300</v>
      </c>
      <c r="R774" t="s">
        <v>1430</v>
      </c>
      <c r="S774" s="7">
        <v>48101</v>
      </c>
      <c r="T774" s="3">
        <v>42045</v>
      </c>
      <c r="U774" s="3">
        <v>42046</v>
      </c>
      <c r="V774" s="4">
        <v>-15.6312</v>
      </c>
      <c r="W774">
        <v>9</v>
      </c>
      <c r="X774">
        <v>69.459999999999994</v>
      </c>
      <c r="Y774" s="7">
        <v>89596</v>
      </c>
    </row>
    <row r="775" spans="1:25" ht="12.75" customHeight="1">
      <c r="A775">
        <v>24433</v>
      </c>
      <c r="B775" t="s">
        <v>47</v>
      </c>
      <c r="C775" s="4">
        <v>0.03</v>
      </c>
      <c r="D775" s="8">
        <v>85.99</v>
      </c>
      <c r="E775" s="4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 s="5">
        <v>0.37</v>
      </c>
      <c r="O775" t="s">
        <v>33</v>
      </c>
      <c r="P775" t="s">
        <v>61</v>
      </c>
      <c r="Q775" t="s">
        <v>300</v>
      </c>
      <c r="R775" t="s">
        <v>1430</v>
      </c>
      <c r="S775" s="7">
        <v>48101</v>
      </c>
      <c r="T775" s="3">
        <v>42045</v>
      </c>
      <c r="U775" s="3">
        <v>42047</v>
      </c>
      <c r="V775" s="4">
        <v>790.54679999999996</v>
      </c>
      <c r="W775">
        <v>16</v>
      </c>
      <c r="X775">
        <v>1145.72</v>
      </c>
      <c r="Y775" s="7">
        <v>89596</v>
      </c>
    </row>
    <row r="776" spans="1:25" ht="12.75" customHeight="1">
      <c r="A776">
        <v>23011</v>
      </c>
      <c r="B776" t="s">
        <v>56</v>
      </c>
      <c r="C776" s="4">
        <v>0.05</v>
      </c>
      <c r="D776" s="8">
        <v>12.97</v>
      </c>
      <c r="E776" s="4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 s="5">
        <v>0.35</v>
      </c>
      <c r="O776" t="s">
        <v>33</v>
      </c>
      <c r="P776" t="s">
        <v>136</v>
      </c>
      <c r="Q776" t="s">
        <v>362</v>
      </c>
      <c r="R776" t="s">
        <v>1434</v>
      </c>
      <c r="S776" s="7">
        <v>32707</v>
      </c>
      <c r="T776" s="3">
        <v>42039</v>
      </c>
      <c r="U776" s="3">
        <v>42041</v>
      </c>
      <c r="V776" s="4">
        <v>5.4659999999999993</v>
      </c>
      <c r="W776">
        <v>2</v>
      </c>
      <c r="X776">
        <v>26.37</v>
      </c>
      <c r="Y776" s="7">
        <v>89993</v>
      </c>
    </row>
    <row r="777" spans="1:25" ht="12.75" customHeight="1">
      <c r="A777">
        <v>23012</v>
      </c>
      <c r="B777" t="s">
        <v>56</v>
      </c>
      <c r="C777" s="4">
        <v>0.06</v>
      </c>
      <c r="D777" s="8">
        <v>5.81</v>
      </c>
      <c r="E777" s="4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 s="5">
        <v>0.54</v>
      </c>
      <c r="O777" t="s">
        <v>33</v>
      </c>
      <c r="P777" t="s">
        <v>136</v>
      </c>
      <c r="Q777" t="s">
        <v>362</v>
      </c>
      <c r="R777" t="s">
        <v>1434</v>
      </c>
      <c r="S777" s="7">
        <v>32707</v>
      </c>
      <c r="T777" s="3">
        <v>42039</v>
      </c>
      <c r="U777" s="3">
        <v>42041</v>
      </c>
      <c r="V777" s="4">
        <v>-149.1182</v>
      </c>
      <c r="W777">
        <v>9</v>
      </c>
      <c r="X777">
        <v>53.44</v>
      </c>
      <c r="Y777" s="7">
        <v>89993</v>
      </c>
    </row>
    <row r="778" spans="1:25" ht="12.75" customHeight="1">
      <c r="A778">
        <v>19333</v>
      </c>
      <c r="B778" t="s">
        <v>37</v>
      </c>
      <c r="C778" s="4">
        <v>0.1</v>
      </c>
      <c r="D778" s="8">
        <v>5.98</v>
      </c>
      <c r="E778" s="4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 s="5">
        <v>0.4</v>
      </c>
      <c r="O778" t="s">
        <v>33</v>
      </c>
      <c r="P778" t="s">
        <v>53</v>
      </c>
      <c r="Q778" t="s">
        <v>415</v>
      </c>
      <c r="R778" t="s">
        <v>1418</v>
      </c>
      <c r="S778" s="7">
        <v>20746</v>
      </c>
      <c r="T778" s="3">
        <v>42080</v>
      </c>
      <c r="U778" s="3">
        <v>42080</v>
      </c>
      <c r="V778" s="4">
        <v>-90.26</v>
      </c>
      <c r="W778">
        <v>10</v>
      </c>
      <c r="X778">
        <v>57.34</v>
      </c>
      <c r="Y778" s="7">
        <v>89994</v>
      </c>
    </row>
    <row r="779" spans="1:25" ht="12.75" customHeight="1">
      <c r="A779">
        <v>20539</v>
      </c>
      <c r="B779" t="s">
        <v>56</v>
      </c>
      <c r="C779" s="4">
        <v>0.03</v>
      </c>
      <c r="D779" s="8">
        <v>73.98</v>
      </c>
      <c r="E779" s="4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 s="5">
        <v>0.65</v>
      </c>
      <c r="O779" t="s">
        <v>33</v>
      </c>
      <c r="P779" t="s">
        <v>61</v>
      </c>
      <c r="Q779" t="s">
        <v>130</v>
      </c>
      <c r="R779" t="s">
        <v>1439</v>
      </c>
      <c r="S779" s="7">
        <v>79424</v>
      </c>
      <c r="T779" s="3">
        <v>42011</v>
      </c>
      <c r="U779" s="3">
        <v>42014</v>
      </c>
      <c r="V779" s="4">
        <v>-326.23159999999996</v>
      </c>
      <c r="W779">
        <v>1</v>
      </c>
      <c r="X779">
        <v>79.02</v>
      </c>
      <c r="Y779" s="7">
        <v>90513</v>
      </c>
    </row>
    <row r="780" spans="1:25" ht="12.75" customHeight="1">
      <c r="A780">
        <v>26034</v>
      </c>
      <c r="B780" t="s">
        <v>56</v>
      </c>
      <c r="C780" s="4">
        <v>0.09</v>
      </c>
      <c r="D780" s="8">
        <v>4.55</v>
      </c>
      <c r="E780" s="4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 s="5">
        <v>0.35</v>
      </c>
      <c r="O780" t="s">
        <v>33</v>
      </c>
      <c r="P780" t="s">
        <v>61</v>
      </c>
      <c r="Q780" t="s">
        <v>130</v>
      </c>
      <c r="R780" t="s">
        <v>1442</v>
      </c>
      <c r="S780" s="7">
        <v>75901</v>
      </c>
      <c r="T780" s="3">
        <v>42086</v>
      </c>
      <c r="U780" s="3">
        <v>42088</v>
      </c>
      <c r="V780" s="4">
        <v>16.898</v>
      </c>
      <c r="W780">
        <v>6</v>
      </c>
      <c r="X780">
        <v>25.45</v>
      </c>
      <c r="Y780" s="7">
        <v>90514</v>
      </c>
    </row>
    <row r="781" spans="1:25" ht="12.75" customHeight="1">
      <c r="A781">
        <v>26035</v>
      </c>
      <c r="B781" t="s">
        <v>56</v>
      </c>
      <c r="C781" s="4">
        <v>7.0000000000000007E-2</v>
      </c>
      <c r="D781" s="8">
        <v>9.7799999999999994</v>
      </c>
      <c r="E781" s="4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 s="5">
        <v>0.35</v>
      </c>
      <c r="O781" t="s">
        <v>33</v>
      </c>
      <c r="P781" t="s">
        <v>61</v>
      </c>
      <c r="Q781" t="s">
        <v>130</v>
      </c>
      <c r="R781" t="s">
        <v>1444</v>
      </c>
      <c r="S781" s="7">
        <v>76063</v>
      </c>
      <c r="T781" s="3">
        <v>42086</v>
      </c>
      <c r="U781" s="3">
        <v>42088</v>
      </c>
      <c r="V781" s="4">
        <v>20.14</v>
      </c>
      <c r="W781">
        <v>11</v>
      </c>
      <c r="X781">
        <v>110.72</v>
      </c>
      <c r="Y781" s="7">
        <v>90514</v>
      </c>
    </row>
    <row r="782" spans="1:25" ht="12.75" customHeight="1">
      <c r="A782">
        <v>24534</v>
      </c>
      <c r="B782" t="s">
        <v>47</v>
      </c>
      <c r="C782" s="4">
        <v>0.06</v>
      </c>
      <c r="D782" s="8">
        <v>44.01</v>
      </c>
      <c r="E782" s="4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 s="5">
        <v>0.59</v>
      </c>
      <c r="O782" t="s">
        <v>33</v>
      </c>
      <c r="P782" t="s">
        <v>34</v>
      </c>
      <c r="Q782" t="s">
        <v>45</v>
      </c>
      <c r="R782" t="s">
        <v>1447</v>
      </c>
      <c r="S782" s="7">
        <v>95207</v>
      </c>
      <c r="T782" s="3">
        <v>42162</v>
      </c>
      <c r="U782" s="3">
        <v>42163</v>
      </c>
      <c r="V782" s="4">
        <v>-21.231999999999999</v>
      </c>
      <c r="W782">
        <v>1</v>
      </c>
      <c r="X782">
        <v>46.94</v>
      </c>
      <c r="Y782" s="7">
        <v>88212</v>
      </c>
    </row>
    <row r="783" spans="1:25" ht="12.75" customHeight="1">
      <c r="A783">
        <v>19932</v>
      </c>
      <c r="B783" t="s">
        <v>106</v>
      </c>
      <c r="C783" s="4">
        <v>0.05</v>
      </c>
      <c r="D783" s="8">
        <v>2.89</v>
      </c>
      <c r="E783" s="4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 s="5">
        <v>0.38</v>
      </c>
      <c r="O783" t="s">
        <v>33</v>
      </c>
      <c r="P783" t="s">
        <v>53</v>
      </c>
      <c r="Q783" t="s">
        <v>197</v>
      </c>
      <c r="R783" t="s">
        <v>1449</v>
      </c>
      <c r="S783" s="7">
        <v>3801</v>
      </c>
      <c r="T783" s="3">
        <v>42182</v>
      </c>
      <c r="U783" s="3">
        <v>42188</v>
      </c>
      <c r="V783" s="4">
        <v>18.0642</v>
      </c>
      <c r="W783">
        <v>9</v>
      </c>
      <c r="X783">
        <v>26.18</v>
      </c>
      <c r="Y783" s="7">
        <v>88213</v>
      </c>
    </row>
    <row r="784" spans="1:25" ht="12.75" customHeight="1">
      <c r="A784">
        <v>19018</v>
      </c>
      <c r="B784" t="s">
        <v>56</v>
      </c>
      <c r="C784" s="4">
        <v>0.03</v>
      </c>
      <c r="D784" s="8">
        <v>2.23</v>
      </c>
      <c r="E784" s="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 s="5">
        <v>0.41</v>
      </c>
      <c r="O784" t="s">
        <v>33</v>
      </c>
      <c r="P784" t="s">
        <v>34</v>
      </c>
      <c r="Q784" t="s">
        <v>212</v>
      </c>
      <c r="R784" t="s">
        <v>1391</v>
      </c>
      <c r="S784" s="7">
        <v>84120</v>
      </c>
      <c r="T784" s="3">
        <v>42125</v>
      </c>
      <c r="U784" s="3">
        <v>42126</v>
      </c>
      <c r="V784" s="4">
        <v>-93.25</v>
      </c>
      <c r="W784">
        <v>12</v>
      </c>
      <c r="X784">
        <v>28.66</v>
      </c>
      <c r="Y784" s="7">
        <v>89406</v>
      </c>
    </row>
    <row r="785" spans="1:25" ht="12.75" customHeight="1">
      <c r="A785">
        <v>25790</v>
      </c>
      <c r="B785" t="s">
        <v>37</v>
      </c>
      <c r="C785" s="4">
        <v>7.0000000000000007E-2</v>
      </c>
      <c r="D785" s="8">
        <v>11.29</v>
      </c>
      <c r="E785" s="4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 s="5">
        <v>0.59</v>
      </c>
      <c r="O785" t="s">
        <v>33</v>
      </c>
      <c r="P785" t="s">
        <v>136</v>
      </c>
      <c r="Q785" t="s">
        <v>137</v>
      </c>
      <c r="R785" t="s">
        <v>1454</v>
      </c>
      <c r="S785" s="7">
        <v>22304</v>
      </c>
      <c r="T785" s="3">
        <v>42185</v>
      </c>
      <c r="U785" s="3">
        <v>42187</v>
      </c>
      <c r="V785" s="4">
        <v>-163.03</v>
      </c>
      <c r="W785">
        <v>11</v>
      </c>
      <c r="X785">
        <v>123.18</v>
      </c>
      <c r="Y785" s="7">
        <v>89407</v>
      </c>
    </row>
    <row r="786" spans="1:25" ht="12.75" customHeight="1">
      <c r="A786">
        <v>22984</v>
      </c>
      <c r="B786" t="s">
        <v>106</v>
      </c>
      <c r="C786" s="4">
        <v>0.02</v>
      </c>
      <c r="D786" s="8">
        <v>70.97</v>
      </c>
      <c r="E786" s="4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 s="5">
        <v>0.59</v>
      </c>
      <c r="O786" t="s">
        <v>33</v>
      </c>
      <c r="P786" t="s">
        <v>136</v>
      </c>
      <c r="Q786" t="s">
        <v>137</v>
      </c>
      <c r="R786" t="s">
        <v>1454</v>
      </c>
      <c r="S786" s="7">
        <v>22304</v>
      </c>
      <c r="T786" s="3">
        <v>42162</v>
      </c>
      <c r="U786" s="3">
        <v>42169</v>
      </c>
      <c r="V786" s="4">
        <v>23.61599999999995</v>
      </c>
      <c r="W786">
        <v>21</v>
      </c>
      <c r="X786">
        <v>1533.59</v>
      </c>
      <c r="Y786" s="7">
        <v>89408</v>
      </c>
    </row>
    <row r="787" spans="1:25" ht="12.75" customHeight="1">
      <c r="A787">
        <v>18970</v>
      </c>
      <c r="B787" t="s">
        <v>47</v>
      </c>
      <c r="C787" s="4">
        <v>0.06</v>
      </c>
      <c r="D787" s="8">
        <v>1.74</v>
      </c>
      <c r="E787" s="4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 s="5">
        <v>0.53</v>
      </c>
      <c r="O787" t="s">
        <v>33</v>
      </c>
      <c r="P787" t="s">
        <v>34</v>
      </c>
      <c r="Q787" t="s">
        <v>45</v>
      </c>
      <c r="R787" t="s">
        <v>1456</v>
      </c>
      <c r="S787" s="7">
        <v>94025</v>
      </c>
      <c r="T787" s="3">
        <v>42029</v>
      </c>
      <c r="U787" s="3">
        <v>42030</v>
      </c>
      <c r="V787" s="4">
        <v>-11.0732</v>
      </c>
      <c r="W787">
        <v>1</v>
      </c>
      <c r="X787">
        <v>2.77</v>
      </c>
      <c r="Y787" s="7">
        <v>88726</v>
      </c>
    </row>
    <row r="788" spans="1:25" ht="12.75" customHeight="1">
      <c r="A788">
        <v>19852</v>
      </c>
      <c r="B788" t="s">
        <v>25</v>
      </c>
      <c r="C788" s="4">
        <v>0.08</v>
      </c>
      <c r="D788" s="8">
        <v>2.62</v>
      </c>
      <c r="E788" s="4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 s="5">
        <v>0.39</v>
      </c>
      <c r="O788" t="s">
        <v>33</v>
      </c>
      <c r="P788" t="s">
        <v>34</v>
      </c>
      <c r="Q788" t="s">
        <v>45</v>
      </c>
      <c r="R788" t="s">
        <v>1456</v>
      </c>
      <c r="S788" s="7">
        <v>94025</v>
      </c>
      <c r="T788" s="3">
        <v>42137</v>
      </c>
      <c r="U788" s="3">
        <v>42139</v>
      </c>
      <c r="V788" s="4">
        <v>21.769499999999997</v>
      </c>
      <c r="W788">
        <v>12</v>
      </c>
      <c r="X788">
        <v>31.55</v>
      </c>
      <c r="Y788" s="7">
        <v>88728</v>
      </c>
    </row>
    <row r="789" spans="1:25" ht="12.75" customHeight="1">
      <c r="A789">
        <v>19111</v>
      </c>
      <c r="B789" t="s">
        <v>25</v>
      </c>
      <c r="C789" s="4">
        <v>0.09</v>
      </c>
      <c r="D789" s="8">
        <v>2.61</v>
      </c>
      <c r="E789" s="4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 s="5">
        <v>0.39</v>
      </c>
      <c r="O789" t="s">
        <v>33</v>
      </c>
      <c r="P789" t="s">
        <v>34</v>
      </c>
      <c r="Q789" t="s">
        <v>45</v>
      </c>
      <c r="R789" t="s">
        <v>1456</v>
      </c>
      <c r="S789" s="7">
        <v>94025</v>
      </c>
      <c r="T789" s="3">
        <v>42158</v>
      </c>
      <c r="U789" s="3">
        <v>42160</v>
      </c>
      <c r="V789" s="4">
        <v>29.380199999999995</v>
      </c>
      <c r="W789">
        <v>17</v>
      </c>
      <c r="X789">
        <v>42.58</v>
      </c>
      <c r="Y789" s="7">
        <v>88729</v>
      </c>
    </row>
    <row r="790" spans="1:25" ht="12.75" customHeight="1">
      <c r="A790">
        <v>18702</v>
      </c>
      <c r="B790" t="s">
        <v>47</v>
      </c>
      <c r="C790" s="4">
        <v>0.1</v>
      </c>
      <c r="D790" s="8">
        <v>8.17</v>
      </c>
      <c r="E790" s="4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 s="5">
        <v>0.38</v>
      </c>
      <c r="O790" t="s">
        <v>33</v>
      </c>
      <c r="P790" t="s">
        <v>34</v>
      </c>
      <c r="Q790" t="s">
        <v>45</v>
      </c>
      <c r="R790" t="s">
        <v>1447</v>
      </c>
      <c r="S790" s="7">
        <v>95207</v>
      </c>
      <c r="T790" s="3">
        <v>42140</v>
      </c>
      <c r="U790" s="3">
        <v>42140</v>
      </c>
      <c r="V790" s="4">
        <v>100.2984</v>
      </c>
      <c r="W790">
        <v>19</v>
      </c>
      <c r="X790">
        <v>145.36000000000001</v>
      </c>
      <c r="Y790" s="7">
        <v>88731</v>
      </c>
    </row>
    <row r="791" spans="1:25" ht="12.75" customHeight="1">
      <c r="A791">
        <v>18703</v>
      </c>
      <c r="B791" t="s">
        <v>47</v>
      </c>
      <c r="C791" s="4">
        <v>0.03</v>
      </c>
      <c r="D791" s="8">
        <v>110.99</v>
      </c>
      <c r="E791" s="4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 s="5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 s="7">
        <v>95207</v>
      </c>
      <c r="T791" s="3">
        <v>42140</v>
      </c>
      <c r="U791" s="3">
        <v>42142</v>
      </c>
      <c r="V791" s="4">
        <v>2495.3987999999999</v>
      </c>
      <c r="W791">
        <v>38</v>
      </c>
      <c r="X791">
        <v>3616.52</v>
      </c>
      <c r="Y791" s="7">
        <v>88731</v>
      </c>
    </row>
    <row r="792" spans="1:25" ht="12.75" customHeight="1">
      <c r="A792">
        <v>20523</v>
      </c>
      <c r="B792" t="s">
        <v>37</v>
      </c>
      <c r="C792" s="4">
        <v>0</v>
      </c>
      <c r="D792" s="8">
        <v>2.88</v>
      </c>
      <c r="E792" s="4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 s="5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 s="7">
        <v>94086</v>
      </c>
      <c r="T792" s="3">
        <v>42118</v>
      </c>
      <c r="U792" s="3">
        <v>42118</v>
      </c>
      <c r="V792" s="4">
        <v>-0.10999999999999943</v>
      </c>
      <c r="W792">
        <v>1</v>
      </c>
      <c r="X792">
        <v>7.96</v>
      </c>
      <c r="Y792" s="7">
        <v>88727</v>
      </c>
    </row>
    <row r="793" spans="1:25" ht="12.75" customHeight="1">
      <c r="A793">
        <v>20163</v>
      </c>
      <c r="B793" t="s">
        <v>106</v>
      </c>
      <c r="C793" s="4">
        <v>7.0000000000000007E-2</v>
      </c>
      <c r="D793" s="8">
        <v>12.28</v>
      </c>
      <c r="E793" s="4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 s="5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 s="7">
        <v>94086</v>
      </c>
      <c r="T793" s="3">
        <v>42127</v>
      </c>
      <c r="U793" s="3">
        <v>42134</v>
      </c>
      <c r="V793" s="4">
        <v>15.236000000000018</v>
      </c>
      <c r="W793">
        <v>33</v>
      </c>
      <c r="X793">
        <v>389.59</v>
      </c>
      <c r="Y793" s="7">
        <v>88730</v>
      </c>
    </row>
    <row r="794" spans="1:25" ht="12.75" customHeight="1">
      <c r="A794">
        <v>5297</v>
      </c>
      <c r="B794" t="s">
        <v>37</v>
      </c>
      <c r="C794" s="4">
        <v>0</v>
      </c>
      <c r="D794" s="8">
        <v>8.6</v>
      </c>
      <c r="E794" s="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 s="5">
        <v>0.38</v>
      </c>
      <c r="O794" t="s">
        <v>33</v>
      </c>
      <c r="P794" t="s">
        <v>61</v>
      </c>
      <c r="Q794" t="s">
        <v>178</v>
      </c>
      <c r="R794" t="s">
        <v>179</v>
      </c>
      <c r="S794" s="7">
        <v>60653</v>
      </c>
      <c r="T794" s="3">
        <v>42019</v>
      </c>
      <c r="U794" s="3">
        <v>42019</v>
      </c>
      <c r="V794" s="4">
        <v>-42.8536</v>
      </c>
      <c r="W794">
        <v>48</v>
      </c>
      <c r="X794">
        <v>447.89</v>
      </c>
      <c r="Y794" s="7">
        <v>37729</v>
      </c>
    </row>
    <row r="795" spans="1:25" ht="12.75" customHeight="1">
      <c r="A795">
        <v>6080</v>
      </c>
      <c r="B795" t="s">
        <v>56</v>
      </c>
      <c r="C795" s="4">
        <v>0.04</v>
      </c>
      <c r="D795" s="8">
        <v>30.73</v>
      </c>
      <c r="E795" s="4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 s="5">
        <v>0.75</v>
      </c>
      <c r="O795" t="s">
        <v>33</v>
      </c>
      <c r="P795" t="s">
        <v>61</v>
      </c>
      <c r="Q795" t="s">
        <v>178</v>
      </c>
      <c r="R795" t="s">
        <v>179</v>
      </c>
      <c r="S795" s="7">
        <v>60653</v>
      </c>
      <c r="T795" s="3">
        <v>42025</v>
      </c>
      <c r="U795" s="3">
        <v>42026</v>
      </c>
      <c r="V795" s="4">
        <v>-20.79</v>
      </c>
      <c r="W795">
        <v>48</v>
      </c>
      <c r="X795">
        <v>1420.84</v>
      </c>
      <c r="Y795" s="7">
        <v>43079</v>
      </c>
    </row>
    <row r="796" spans="1:25" ht="12.75" customHeight="1">
      <c r="A796">
        <v>23297</v>
      </c>
      <c r="B796" t="s">
        <v>37</v>
      </c>
      <c r="C796" s="4">
        <v>0</v>
      </c>
      <c r="D796" s="8">
        <v>8.6</v>
      </c>
      <c r="E796" s="4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 s="5">
        <v>0.38</v>
      </c>
      <c r="O796" t="s">
        <v>33</v>
      </c>
      <c r="P796" t="s">
        <v>61</v>
      </c>
      <c r="Q796" t="s">
        <v>300</v>
      </c>
      <c r="R796" t="s">
        <v>1464</v>
      </c>
      <c r="S796" s="7">
        <v>49017</v>
      </c>
      <c r="T796" s="3">
        <v>42019</v>
      </c>
      <c r="U796" s="3">
        <v>42019</v>
      </c>
      <c r="V796" s="4">
        <v>-33.211539999999999</v>
      </c>
      <c r="W796">
        <v>12</v>
      </c>
      <c r="X796">
        <v>111.97</v>
      </c>
      <c r="Y796" s="7">
        <v>86144</v>
      </c>
    </row>
    <row r="797" spans="1:25" ht="12.75" customHeight="1">
      <c r="A797">
        <v>24080</v>
      </c>
      <c r="B797" t="s">
        <v>56</v>
      </c>
      <c r="C797" s="4">
        <v>0.04</v>
      </c>
      <c r="D797" s="8">
        <v>30.73</v>
      </c>
      <c r="E797" s="4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 s="5">
        <v>0.75</v>
      </c>
      <c r="O797" t="s">
        <v>33</v>
      </c>
      <c r="P797" t="s">
        <v>61</v>
      </c>
      <c r="Q797" t="s">
        <v>300</v>
      </c>
      <c r="R797" t="s">
        <v>1464</v>
      </c>
      <c r="S797" s="7">
        <v>49017</v>
      </c>
      <c r="T797" s="3">
        <v>42025</v>
      </c>
      <c r="U797" s="3">
        <v>42026</v>
      </c>
      <c r="V797" s="4">
        <v>-20.79</v>
      </c>
      <c r="W797">
        <v>12</v>
      </c>
      <c r="X797">
        <v>355.21</v>
      </c>
      <c r="Y797" s="7">
        <v>86145</v>
      </c>
    </row>
    <row r="798" spans="1:25" ht="12.75" customHeight="1">
      <c r="A798">
        <v>19417</v>
      </c>
      <c r="B798" t="s">
        <v>56</v>
      </c>
      <c r="C798" s="4">
        <v>0</v>
      </c>
      <c r="D798" s="8">
        <v>65.989999999999995</v>
      </c>
      <c r="E798" s="4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 s="5">
        <v>0.59</v>
      </c>
      <c r="O798" t="s">
        <v>33</v>
      </c>
      <c r="P798" t="s">
        <v>34</v>
      </c>
      <c r="Q798" t="s">
        <v>45</v>
      </c>
      <c r="R798" t="s">
        <v>1467</v>
      </c>
      <c r="S798" s="7">
        <v>92553</v>
      </c>
      <c r="T798" s="3">
        <v>42101</v>
      </c>
      <c r="U798" s="3">
        <v>42102</v>
      </c>
      <c r="V798" s="4">
        <v>369.99869999999999</v>
      </c>
      <c r="W798">
        <v>9</v>
      </c>
      <c r="X798">
        <v>536.23</v>
      </c>
      <c r="Y798" s="7">
        <v>87086</v>
      </c>
    </row>
    <row r="799" spans="1:25" ht="12.75" customHeight="1">
      <c r="A799">
        <v>24407</v>
      </c>
      <c r="B799" t="s">
        <v>37</v>
      </c>
      <c r="C799" s="4">
        <v>0.08</v>
      </c>
      <c r="D799" s="8">
        <v>3.38</v>
      </c>
      <c r="E799" s="4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 s="5">
        <v>0.48</v>
      </c>
      <c r="O799" t="s">
        <v>33</v>
      </c>
      <c r="P799" t="s">
        <v>34</v>
      </c>
      <c r="Q799" t="s">
        <v>45</v>
      </c>
      <c r="R799" t="s">
        <v>1470</v>
      </c>
      <c r="S799" s="7">
        <v>94043</v>
      </c>
      <c r="T799" s="3">
        <v>42037</v>
      </c>
      <c r="U799" s="3">
        <v>42039</v>
      </c>
      <c r="V799" s="4">
        <v>20.453600000000002</v>
      </c>
      <c r="W799">
        <v>12</v>
      </c>
      <c r="X799">
        <v>38.81</v>
      </c>
      <c r="Y799" s="7">
        <v>87087</v>
      </c>
    </row>
    <row r="800" spans="1:25" ht="12.75" customHeight="1">
      <c r="A800">
        <v>1417</v>
      </c>
      <c r="B800" t="s">
        <v>56</v>
      </c>
      <c r="C800" s="4">
        <v>0</v>
      </c>
      <c r="D800" s="8">
        <v>65.989999999999995</v>
      </c>
      <c r="E800" s="4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 s="5">
        <v>0.59</v>
      </c>
      <c r="O800" t="s">
        <v>33</v>
      </c>
      <c r="P800" t="s">
        <v>53</v>
      </c>
      <c r="Q800" t="s">
        <v>193</v>
      </c>
      <c r="R800" t="s">
        <v>194</v>
      </c>
      <c r="S800" s="7">
        <v>2113</v>
      </c>
      <c r="T800" s="3">
        <v>42101</v>
      </c>
      <c r="U800" s="3">
        <v>42102</v>
      </c>
      <c r="V800" s="4">
        <v>542.25</v>
      </c>
      <c r="W800">
        <v>36</v>
      </c>
      <c r="X800">
        <v>2144.92</v>
      </c>
      <c r="Y800" s="7">
        <v>10277</v>
      </c>
    </row>
    <row r="801" spans="1:25" ht="12.75" customHeight="1">
      <c r="A801">
        <v>6406</v>
      </c>
      <c r="B801" t="s">
        <v>37</v>
      </c>
      <c r="C801" s="4">
        <v>0.02</v>
      </c>
      <c r="D801" s="8">
        <v>16.48</v>
      </c>
      <c r="E801" s="4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 s="5">
        <v>0.42</v>
      </c>
      <c r="O801" t="s">
        <v>33</v>
      </c>
      <c r="P801" t="s">
        <v>53</v>
      </c>
      <c r="Q801" t="s">
        <v>193</v>
      </c>
      <c r="R801" t="s">
        <v>194</v>
      </c>
      <c r="S801" s="7">
        <v>2113</v>
      </c>
      <c r="T801" s="3">
        <v>42037</v>
      </c>
      <c r="U801" s="3">
        <v>42039</v>
      </c>
      <c r="V801" s="4">
        <v>69.61</v>
      </c>
      <c r="W801">
        <v>27</v>
      </c>
      <c r="X801">
        <v>484.56</v>
      </c>
      <c r="Y801" s="7">
        <v>45539</v>
      </c>
    </row>
    <row r="802" spans="1:25" ht="12.75" customHeight="1">
      <c r="A802">
        <v>25129</v>
      </c>
      <c r="B802" t="s">
        <v>47</v>
      </c>
      <c r="C802" s="4">
        <v>0.02</v>
      </c>
      <c r="D802" s="8">
        <v>417.4</v>
      </c>
      <c r="E802" s="4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 s="5">
        <v>0.79</v>
      </c>
      <c r="O802" t="s">
        <v>33</v>
      </c>
      <c r="P802" t="s">
        <v>61</v>
      </c>
      <c r="Q802" t="s">
        <v>703</v>
      </c>
      <c r="R802" t="s">
        <v>1474</v>
      </c>
      <c r="S802" s="7">
        <v>46203</v>
      </c>
      <c r="T802" s="3">
        <v>42130</v>
      </c>
      <c r="U802" s="3">
        <v>42131</v>
      </c>
      <c r="V802" s="4">
        <v>-634.86540000000002</v>
      </c>
      <c r="W802">
        <v>1</v>
      </c>
      <c r="X802">
        <v>471.21</v>
      </c>
      <c r="Y802" s="7">
        <v>90538</v>
      </c>
    </row>
    <row r="803" spans="1:25" ht="12.75" customHeight="1">
      <c r="A803">
        <v>24722</v>
      </c>
      <c r="B803" t="s">
        <v>25</v>
      </c>
      <c r="C803" s="4">
        <v>0.04</v>
      </c>
      <c r="D803" s="8">
        <v>46.89</v>
      </c>
      <c r="E803" s="4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 s="5">
        <v>0.46</v>
      </c>
      <c r="O803" t="s">
        <v>33</v>
      </c>
      <c r="P803" t="s">
        <v>61</v>
      </c>
      <c r="Q803" t="s">
        <v>703</v>
      </c>
      <c r="R803" t="s">
        <v>1474</v>
      </c>
      <c r="S803" s="7">
        <v>46203</v>
      </c>
      <c r="T803" s="3">
        <v>42180</v>
      </c>
      <c r="U803" s="3">
        <v>42182</v>
      </c>
      <c r="V803" s="4">
        <v>87.12</v>
      </c>
      <c r="W803">
        <v>4</v>
      </c>
      <c r="X803">
        <v>182.61</v>
      </c>
      <c r="Y803" s="7">
        <v>90540</v>
      </c>
    </row>
    <row r="804" spans="1:25" ht="12.75" customHeight="1">
      <c r="A804">
        <v>22823</v>
      </c>
      <c r="B804" t="s">
        <v>106</v>
      </c>
      <c r="C804" s="4">
        <v>7.0000000000000007E-2</v>
      </c>
      <c r="D804" s="8">
        <v>4.84</v>
      </c>
      <c r="E804" s="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 s="5">
        <v>0.52</v>
      </c>
      <c r="O804" t="s">
        <v>33</v>
      </c>
      <c r="P804" t="s">
        <v>61</v>
      </c>
      <c r="Q804" t="s">
        <v>703</v>
      </c>
      <c r="R804" t="s">
        <v>1477</v>
      </c>
      <c r="S804" s="7">
        <v>46901</v>
      </c>
      <c r="T804" s="3">
        <v>42005</v>
      </c>
      <c r="U804" s="3">
        <v>42007</v>
      </c>
      <c r="V804" s="4">
        <v>25.240199999999998</v>
      </c>
      <c r="W804">
        <v>8</v>
      </c>
      <c r="X804">
        <v>36.58</v>
      </c>
      <c r="Y804" s="7">
        <v>90539</v>
      </c>
    </row>
    <row r="805" spans="1:25" ht="12.75" customHeight="1">
      <c r="A805">
        <v>24295</v>
      </c>
      <c r="B805" t="s">
        <v>37</v>
      </c>
      <c r="C805" s="4">
        <v>0.01</v>
      </c>
      <c r="D805" s="8">
        <v>124.49</v>
      </c>
      <c r="E805" s="4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 s="5">
        <v>0.63</v>
      </c>
      <c r="O805" t="s">
        <v>33</v>
      </c>
      <c r="P805" t="s">
        <v>61</v>
      </c>
      <c r="Q805" t="s">
        <v>703</v>
      </c>
      <c r="R805" t="s">
        <v>1479</v>
      </c>
      <c r="S805" s="7">
        <v>47905</v>
      </c>
      <c r="T805" s="3">
        <v>42180</v>
      </c>
      <c r="U805" s="3">
        <v>42181</v>
      </c>
      <c r="V805" s="4">
        <v>-94.674644999999998</v>
      </c>
      <c r="W805">
        <v>18</v>
      </c>
      <c r="X805">
        <v>2376.12</v>
      </c>
      <c r="Y805" s="7">
        <v>90540</v>
      </c>
    </row>
    <row r="806" spans="1:25" ht="12.75" customHeight="1">
      <c r="A806">
        <v>19024</v>
      </c>
      <c r="B806" t="s">
        <v>106</v>
      </c>
      <c r="C806" s="4">
        <v>0.05</v>
      </c>
      <c r="D806" s="8">
        <v>350.99</v>
      </c>
      <c r="E806" s="4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 s="5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 s="7">
        <v>80112</v>
      </c>
      <c r="T806" s="3">
        <v>42016</v>
      </c>
      <c r="U806" s="3">
        <v>42018</v>
      </c>
      <c r="V806" s="4">
        <v>451.28039999999999</v>
      </c>
      <c r="W806">
        <v>3</v>
      </c>
      <c r="X806">
        <v>1020.08</v>
      </c>
      <c r="Y806" s="7">
        <v>89448</v>
      </c>
    </row>
    <row r="807" spans="1:25" ht="12.75" customHeight="1">
      <c r="A807">
        <v>19025</v>
      </c>
      <c r="B807" t="s">
        <v>106</v>
      </c>
      <c r="C807" s="4">
        <v>0</v>
      </c>
      <c r="D807" s="8">
        <v>8.74</v>
      </c>
      <c r="E807" s="4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 s="5">
        <v>0.38</v>
      </c>
      <c r="O807" t="s">
        <v>33</v>
      </c>
      <c r="P807" t="s">
        <v>34</v>
      </c>
      <c r="Q807" t="s">
        <v>255</v>
      </c>
      <c r="R807" t="s">
        <v>1481</v>
      </c>
      <c r="S807" s="7">
        <v>80112</v>
      </c>
      <c r="T807" s="3">
        <v>42016</v>
      </c>
      <c r="U807" s="3">
        <v>42020</v>
      </c>
      <c r="V807" s="4">
        <v>44.988</v>
      </c>
      <c r="W807">
        <v>7</v>
      </c>
      <c r="X807">
        <v>65.2</v>
      </c>
      <c r="Y807" s="7">
        <v>89448</v>
      </c>
    </row>
    <row r="808" spans="1:25" ht="12.75" customHeight="1">
      <c r="A808">
        <v>19026</v>
      </c>
      <c r="B808" t="s">
        <v>106</v>
      </c>
      <c r="C808" s="4">
        <v>0.02</v>
      </c>
      <c r="D808" s="8">
        <v>1.98</v>
      </c>
      <c r="E808" s="4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 s="5">
        <v>0.83</v>
      </c>
      <c r="O808" t="s">
        <v>33</v>
      </c>
      <c r="P808" t="s">
        <v>34</v>
      </c>
      <c r="Q808" t="s">
        <v>255</v>
      </c>
      <c r="R808" t="s">
        <v>1481</v>
      </c>
      <c r="S808" s="7">
        <v>80112</v>
      </c>
      <c r="T808" s="3">
        <v>42016</v>
      </c>
      <c r="U808" s="3">
        <v>42020</v>
      </c>
      <c r="V808" s="4">
        <v>-20.732799999999997</v>
      </c>
      <c r="W808">
        <v>11</v>
      </c>
      <c r="X808">
        <v>22.59</v>
      </c>
      <c r="Y808" s="7">
        <v>89448</v>
      </c>
    </row>
    <row r="809" spans="1:25" ht="12.75" customHeight="1">
      <c r="A809">
        <v>23620</v>
      </c>
      <c r="B809" t="s">
        <v>37</v>
      </c>
      <c r="C809" s="4">
        <v>0.05</v>
      </c>
      <c r="D809" s="8">
        <v>8.0399999999999991</v>
      </c>
      <c r="E809" s="4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 s="5">
        <v>0.4</v>
      </c>
      <c r="O809" t="s">
        <v>33</v>
      </c>
      <c r="P809" t="s">
        <v>34</v>
      </c>
      <c r="Q809" t="s">
        <v>255</v>
      </c>
      <c r="R809" t="s">
        <v>1481</v>
      </c>
      <c r="S809" s="7">
        <v>80112</v>
      </c>
      <c r="T809" s="3">
        <v>42175</v>
      </c>
      <c r="U809" s="3">
        <v>42177</v>
      </c>
      <c r="V809" s="4">
        <v>-164.39479999999998</v>
      </c>
      <c r="W809">
        <v>15</v>
      </c>
      <c r="X809">
        <v>121.36</v>
      </c>
      <c r="Y809" s="7">
        <v>89449</v>
      </c>
    </row>
    <row r="810" spans="1:25" ht="12.75" customHeight="1">
      <c r="A810">
        <v>22824</v>
      </c>
      <c r="B810" t="s">
        <v>106</v>
      </c>
      <c r="C810" s="4">
        <v>0.04</v>
      </c>
      <c r="D810" s="8">
        <v>2036.48</v>
      </c>
      <c r="E810" s="4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 s="5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 s="7">
        <v>80525</v>
      </c>
      <c r="T810" s="3">
        <v>42005</v>
      </c>
      <c r="U810" s="3">
        <v>42010</v>
      </c>
      <c r="V810" s="4">
        <v>-4793.0039999999999</v>
      </c>
      <c r="W810">
        <v>1</v>
      </c>
      <c r="X810">
        <v>2013.67</v>
      </c>
      <c r="Y810" s="7">
        <v>89450</v>
      </c>
    </row>
    <row r="811" spans="1:25" ht="12.75" customHeight="1">
      <c r="A811">
        <v>22407</v>
      </c>
      <c r="B811" t="s">
        <v>106</v>
      </c>
      <c r="C811" s="4">
        <v>0.09</v>
      </c>
      <c r="D811" s="8">
        <v>125.99</v>
      </c>
      <c r="E811" s="4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 s="5">
        <v>0.6</v>
      </c>
      <c r="O811" t="s">
        <v>33</v>
      </c>
      <c r="P811" t="s">
        <v>61</v>
      </c>
      <c r="Q811" t="s">
        <v>300</v>
      </c>
      <c r="R811" t="s">
        <v>1485</v>
      </c>
      <c r="S811" s="7">
        <v>48708</v>
      </c>
      <c r="T811" s="3">
        <v>42040</v>
      </c>
      <c r="U811" s="3">
        <v>42044</v>
      </c>
      <c r="V811" s="4">
        <v>1258.7876999999999</v>
      </c>
      <c r="W811">
        <v>18</v>
      </c>
      <c r="X811">
        <v>1824.33</v>
      </c>
      <c r="Y811" s="7">
        <v>90905</v>
      </c>
    </row>
    <row r="812" spans="1:25" ht="12.75" customHeight="1">
      <c r="A812">
        <v>19810</v>
      </c>
      <c r="B812" t="s">
        <v>37</v>
      </c>
      <c r="C812" s="4">
        <v>0.05</v>
      </c>
      <c r="D812" s="8">
        <v>9.7799999999999994</v>
      </c>
      <c r="E812" s="4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 s="5">
        <v>0.39</v>
      </c>
      <c r="O812" t="s">
        <v>33</v>
      </c>
      <c r="P812" t="s">
        <v>61</v>
      </c>
      <c r="Q812" t="s">
        <v>703</v>
      </c>
      <c r="R812" t="s">
        <v>1474</v>
      </c>
      <c r="S812" s="7">
        <v>46203</v>
      </c>
      <c r="T812" s="3">
        <v>42068</v>
      </c>
      <c r="U812" s="3">
        <v>42069</v>
      </c>
      <c r="V812" s="4">
        <v>74.278499999999994</v>
      </c>
      <c r="W812">
        <v>11</v>
      </c>
      <c r="X812">
        <v>107.65</v>
      </c>
      <c r="Y812" s="7">
        <v>86826</v>
      </c>
    </row>
    <row r="813" spans="1:25" ht="12.75" customHeight="1">
      <c r="A813">
        <v>18762</v>
      </c>
      <c r="B813" t="s">
        <v>106</v>
      </c>
      <c r="C813" s="4">
        <v>7.0000000000000007E-2</v>
      </c>
      <c r="D813" s="8">
        <v>10.98</v>
      </c>
      <c r="E813" s="4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 s="5">
        <v>0.36</v>
      </c>
      <c r="O813" t="s">
        <v>33</v>
      </c>
      <c r="P813" t="s">
        <v>61</v>
      </c>
      <c r="Q813" t="s">
        <v>703</v>
      </c>
      <c r="R813" t="s">
        <v>1474</v>
      </c>
      <c r="S813" s="7">
        <v>46203</v>
      </c>
      <c r="T813" s="3">
        <v>42175</v>
      </c>
      <c r="U813" s="3">
        <v>42182</v>
      </c>
      <c r="V813" s="4">
        <v>52.92</v>
      </c>
      <c r="W813">
        <v>16</v>
      </c>
      <c r="X813">
        <v>165.21</v>
      </c>
      <c r="Y813" s="7">
        <v>86827</v>
      </c>
    </row>
    <row r="814" spans="1:25" ht="12.75" customHeight="1">
      <c r="A814">
        <v>19811</v>
      </c>
      <c r="B814" t="s">
        <v>37</v>
      </c>
      <c r="C814" s="4">
        <v>0.02</v>
      </c>
      <c r="D814" s="8">
        <v>3.28</v>
      </c>
      <c r="E814" s="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 s="5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 s="7">
        <v>47130</v>
      </c>
      <c r="T814" s="3">
        <v>42068</v>
      </c>
      <c r="U814" s="3">
        <v>42069</v>
      </c>
      <c r="V814" s="4">
        <v>-66.349999999999994</v>
      </c>
      <c r="W814">
        <v>7</v>
      </c>
      <c r="X814">
        <v>25.15</v>
      </c>
      <c r="Y814" s="7">
        <v>86826</v>
      </c>
    </row>
    <row r="815" spans="1:25" ht="12.75" customHeight="1">
      <c r="A815">
        <v>20124</v>
      </c>
      <c r="B815" t="s">
        <v>25</v>
      </c>
      <c r="C815" s="4">
        <v>7.0000000000000007E-2</v>
      </c>
      <c r="D815" s="8">
        <v>300.98</v>
      </c>
      <c r="E815" s="4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 s="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 s="7">
        <v>47130</v>
      </c>
      <c r="T815" s="3">
        <v>42143</v>
      </c>
      <c r="U815" s="3">
        <v>42145</v>
      </c>
      <c r="V815" s="4">
        <v>1399.6400000000003</v>
      </c>
      <c r="W815">
        <v>14</v>
      </c>
      <c r="X815">
        <v>4285.5600000000004</v>
      </c>
      <c r="Y815" s="7">
        <v>86828</v>
      </c>
    </row>
    <row r="816" spans="1:25" ht="12.75" customHeight="1">
      <c r="A816">
        <v>20125</v>
      </c>
      <c r="B816" t="s">
        <v>25</v>
      </c>
      <c r="C816" s="4">
        <v>0.01</v>
      </c>
      <c r="D816" s="8">
        <v>20.98</v>
      </c>
      <c r="E816" s="4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 s="5">
        <v>0.61</v>
      </c>
      <c r="O816" t="s">
        <v>33</v>
      </c>
      <c r="P816" t="s">
        <v>61</v>
      </c>
      <c r="Q816" t="s">
        <v>703</v>
      </c>
      <c r="R816" t="s">
        <v>1488</v>
      </c>
      <c r="S816" s="7">
        <v>47130</v>
      </c>
      <c r="T816" s="3">
        <v>42143</v>
      </c>
      <c r="U816" s="3">
        <v>42143</v>
      </c>
      <c r="V816" s="4">
        <v>232.64200000000028</v>
      </c>
      <c r="W816">
        <v>28</v>
      </c>
      <c r="X816">
        <v>631.37</v>
      </c>
      <c r="Y816" s="7">
        <v>86828</v>
      </c>
    </row>
    <row r="817" spans="1:25" ht="12.75" customHeight="1">
      <c r="A817">
        <v>21955</v>
      </c>
      <c r="B817" t="s">
        <v>47</v>
      </c>
      <c r="C817" s="4">
        <v>0.01</v>
      </c>
      <c r="D817" s="8">
        <v>80.98</v>
      </c>
      <c r="E817" s="4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 s="5">
        <v>0.83</v>
      </c>
      <c r="O817" t="s">
        <v>33</v>
      </c>
      <c r="P817" t="s">
        <v>53</v>
      </c>
      <c r="Q817" t="s">
        <v>154</v>
      </c>
      <c r="R817" t="s">
        <v>1492</v>
      </c>
      <c r="S817" s="7">
        <v>44035</v>
      </c>
      <c r="T817" s="3">
        <v>42026</v>
      </c>
      <c r="U817" s="3">
        <v>42028</v>
      </c>
      <c r="V817" s="4">
        <v>-409.37360000000001</v>
      </c>
      <c r="W817">
        <v>3</v>
      </c>
      <c r="X817">
        <v>267.83</v>
      </c>
      <c r="Y817" s="7">
        <v>90120</v>
      </c>
    </row>
    <row r="818" spans="1:25" ht="12.75" customHeight="1">
      <c r="A818">
        <v>23415</v>
      </c>
      <c r="B818" t="s">
        <v>47</v>
      </c>
      <c r="C818" s="4">
        <v>0.05</v>
      </c>
      <c r="D818" s="8">
        <v>6.48</v>
      </c>
      <c r="E818" s="4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 s="5">
        <v>0.37</v>
      </c>
      <c r="O818" t="s">
        <v>33</v>
      </c>
      <c r="P818" t="s">
        <v>53</v>
      </c>
      <c r="Q818" t="s">
        <v>154</v>
      </c>
      <c r="R818" t="s">
        <v>1494</v>
      </c>
      <c r="S818" s="7">
        <v>44117</v>
      </c>
      <c r="T818" s="3">
        <v>42122</v>
      </c>
      <c r="U818" s="3">
        <v>42123</v>
      </c>
      <c r="V818" s="4">
        <v>-29.07</v>
      </c>
      <c r="W818">
        <v>3</v>
      </c>
      <c r="X818">
        <v>21.46</v>
      </c>
      <c r="Y818" s="7">
        <v>90121</v>
      </c>
    </row>
    <row r="819" spans="1:25" ht="12.75" customHeight="1">
      <c r="A819">
        <v>22672</v>
      </c>
      <c r="B819" t="s">
        <v>37</v>
      </c>
      <c r="C819" s="4">
        <v>0.04</v>
      </c>
      <c r="D819" s="8">
        <v>177.98</v>
      </c>
      <c r="E819" s="4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 s="5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 s="7">
        <v>65807</v>
      </c>
      <c r="T819" s="3">
        <v>42180</v>
      </c>
      <c r="U819" s="3">
        <v>42182</v>
      </c>
      <c r="V819" s="4">
        <v>1909.8854999999996</v>
      </c>
      <c r="W819">
        <v>15</v>
      </c>
      <c r="X819">
        <v>2767.95</v>
      </c>
      <c r="Y819" s="7">
        <v>89076</v>
      </c>
    </row>
    <row r="820" spans="1:25" ht="12.75" customHeight="1">
      <c r="A820">
        <v>21945</v>
      </c>
      <c r="B820" t="s">
        <v>106</v>
      </c>
      <c r="C820" s="4">
        <v>0.02</v>
      </c>
      <c r="D820" s="8">
        <v>15.99</v>
      </c>
      <c r="E820" s="4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 s="5">
        <v>0.37</v>
      </c>
      <c r="O820" t="s">
        <v>33</v>
      </c>
      <c r="P820" t="s">
        <v>61</v>
      </c>
      <c r="Q820" t="s">
        <v>506</v>
      </c>
      <c r="R820" t="s">
        <v>1193</v>
      </c>
      <c r="S820" s="7">
        <v>65807</v>
      </c>
      <c r="T820" s="3">
        <v>42034</v>
      </c>
      <c r="U820" s="3">
        <v>42038</v>
      </c>
      <c r="V820" s="4">
        <v>-76.992500000000007</v>
      </c>
      <c r="W820">
        <v>7</v>
      </c>
      <c r="X820">
        <v>123.03</v>
      </c>
      <c r="Y820" s="7">
        <v>89077</v>
      </c>
    </row>
    <row r="821" spans="1:25" ht="12.75" customHeight="1">
      <c r="A821">
        <v>21946</v>
      </c>
      <c r="B821" t="s">
        <v>106</v>
      </c>
      <c r="C821" s="4">
        <v>0.09</v>
      </c>
      <c r="D821" s="8">
        <v>46.94</v>
      </c>
      <c r="E821" s="4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 s="5">
        <v>0.44</v>
      </c>
      <c r="O821" t="s">
        <v>33</v>
      </c>
      <c r="P821" t="s">
        <v>61</v>
      </c>
      <c r="Q821" t="s">
        <v>506</v>
      </c>
      <c r="R821" t="s">
        <v>1193</v>
      </c>
      <c r="S821" s="7">
        <v>65807</v>
      </c>
      <c r="T821" s="3">
        <v>42034</v>
      </c>
      <c r="U821" s="3">
        <v>42034</v>
      </c>
      <c r="V821" s="4">
        <v>297.96959999999996</v>
      </c>
      <c r="W821">
        <v>10</v>
      </c>
      <c r="X821">
        <v>431.84</v>
      </c>
      <c r="Y821" s="7">
        <v>89077</v>
      </c>
    </row>
    <row r="822" spans="1:25" ht="12.75" customHeight="1">
      <c r="A822">
        <v>23793</v>
      </c>
      <c r="B822" t="s">
        <v>56</v>
      </c>
      <c r="C822" s="4">
        <v>0.1</v>
      </c>
      <c r="D822" s="8">
        <v>218.08</v>
      </c>
      <c r="E822" s="4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 s="5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 s="7">
        <v>96150</v>
      </c>
      <c r="T822" s="3">
        <v>42148</v>
      </c>
      <c r="U822" s="3">
        <v>42149</v>
      </c>
      <c r="V822" s="4">
        <v>1318.83</v>
      </c>
      <c r="W822">
        <v>12</v>
      </c>
      <c r="X822">
        <v>2366.5100000000002</v>
      </c>
      <c r="Y822" s="7">
        <v>86735</v>
      </c>
    </row>
    <row r="823" spans="1:25" ht="12.75" customHeight="1">
      <c r="A823">
        <v>25006</v>
      </c>
      <c r="B823" t="s">
        <v>25</v>
      </c>
      <c r="C823" s="4">
        <v>0.05</v>
      </c>
      <c r="D823" s="8">
        <v>85.99</v>
      </c>
      <c r="E823" s="4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 s="5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 s="7">
        <v>29687</v>
      </c>
      <c r="T823" s="3">
        <v>42099</v>
      </c>
      <c r="U823" s="3">
        <v>42101</v>
      </c>
      <c r="V823" s="4">
        <v>36.215999999999994</v>
      </c>
      <c r="W823">
        <v>4</v>
      </c>
      <c r="X823">
        <v>291.64</v>
      </c>
      <c r="Y823" s="7">
        <v>86734</v>
      </c>
    </row>
    <row r="824" spans="1:25" ht="12.75" customHeight="1">
      <c r="A824">
        <v>18105</v>
      </c>
      <c r="B824" t="s">
        <v>25</v>
      </c>
      <c r="C824" s="4">
        <v>0.05</v>
      </c>
      <c r="D824" s="8">
        <v>12.95</v>
      </c>
      <c r="E824" s="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 s="5">
        <v>0.4</v>
      </c>
      <c r="O824" t="s">
        <v>33</v>
      </c>
      <c r="P824" t="s">
        <v>61</v>
      </c>
      <c r="Q824" t="s">
        <v>703</v>
      </c>
      <c r="R824" t="s">
        <v>1479</v>
      </c>
      <c r="S824" s="7">
        <v>47905</v>
      </c>
      <c r="T824" s="3">
        <v>42157</v>
      </c>
      <c r="U824" s="3">
        <v>42159</v>
      </c>
      <c r="V824" s="4">
        <v>134.16825</v>
      </c>
      <c r="W824">
        <v>19</v>
      </c>
      <c r="X824">
        <v>252.36</v>
      </c>
      <c r="Y824" s="7">
        <v>86397</v>
      </c>
    </row>
    <row r="825" spans="1:25" ht="12.75" customHeight="1">
      <c r="A825">
        <v>23735</v>
      </c>
      <c r="B825" t="s">
        <v>25</v>
      </c>
      <c r="C825" s="4">
        <v>0</v>
      </c>
      <c r="D825" s="8">
        <v>65.989999999999995</v>
      </c>
      <c r="E825" s="4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 s="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 s="7">
        <v>68601</v>
      </c>
      <c r="T825" s="3">
        <v>42166</v>
      </c>
      <c r="U825" s="3">
        <v>42168</v>
      </c>
      <c r="V825" s="4">
        <v>253.30319999999998</v>
      </c>
      <c r="W825">
        <v>10</v>
      </c>
      <c r="X825">
        <v>575.07000000000005</v>
      </c>
      <c r="Y825" s="7">
        <v>91115</v>
      </c>
    </row>
    <row r="826" spans="1:25" ht="12.75" customHeight="1">
      <c r="A826">
        <v>25917</v>
      </c>
      <c r="B826" t="s">
        <v>106</v>
      </c>
      <c r="C826" s="4">
        <v>0.04</v>
      </c>
      <c r="D826" s="8">
        <v>130.97999999999999</v>
      </c>
      <c r="E826" s="4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 s="5">
        <v>0.69</v>
      </c>
      <c r="O826" t="s">
        <v>33</v>
      </c>
      <c r="P826" t="s">
        <v>61</v>
      </c>
      <c r="Q826" t="s">
        <v>496</v>
      </c>
      <c r="R826" t="s">
        <v>443</v>
      </c>
      <c r="S826" s="7">
        <v>68601</v>
      </c>
      <c r="T826" s="3">
        <v>42167</v>
      </c>
      <c r="U826" s="3">
        <v>42167</v>
      </c>
      <c r="V826" s="4">
        <v>-723.78399999999999</v>
      </c>
      <c r="W826">
        <v>14</v>
      </c>
      <c r="X826">
        <v>1781.66</v>
      </c>
      <c r="Y826" s="7">
        <v>91116</v>
      </c>
    </row>
    <row r="827" spans="1:25" ht="12.75" customHeight="1">
      <c r="A827">
        <v>25915</v>
      </c>
      <c r="B827" t="s">
        <v>106</v>
      </c>
      <c r="C827" s="4">
        <v>0.04</v>
      </c>
      <c r="D827" s="8">
        <v>105.29</v>
      </c>
      <c r="E827" s="4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 s="5">
        <v>0.79</v>
      </c>
      <c r="O827" t="s">
        <v>33</v>
      </c>
      <c r="P827" t="s">
        <v>34</v>
      </c>
      <c r="Q827" t="s">
        <v>212</v>
      </c>
      <c r="R827" t="s">
        <v>1508</v>
      </c>
      <c r="S827" s="7">
        <v>84015</v>
      </c>
      <c r="T827" s="3">
        <v>42167</v>
      </c>
      <c r="U827" s="3">
        <v>42171</v>
      </c>
      <c r="V827" s="4">
        <v>589.18799999999999</v>
      </c>
      <c r="W827">
        <v>9</v>
      </c>
      <c r="X827">
        <v>940.64</v>
      </c>
      <c r="Y827" s="7">
        <v>91116</v>
      </c>
    </row>
    <row r="828" spans="1:25" ht="12.75" customHeight="1">
      <c r="A828">
        <v>25916</v>
      </c>
      <c r="B828" t="s">
        <v>106</v>
      </c>
      <c r="C828" s="4">
        <v>7.0000000000000007E-2</v>
      </c>
      <c r="D828" s="8">
        <v>31.76</v>
      </c>
      <c r="E828" s="4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 s="5">
        <v>0.65</v>
      </c>
      <c r="O828" t="s">
        <v>33</v>
      </c>
      <c r="P828" t="s">
        <v>34</v>
      </c>
      <c r="Q828" t="s">
        <v>212</v>
      </c>
      <c r="R828" t="s">
        <v>1508</v>
      </c>
      <c r="S828" s="7">
        <v>84015</v>
      </c>
      <c r="T828" s="3">
        <v>42167</v>
      </c>
      <c r="U828" s="3">
        <v>42169</v>
      </c>
      <c r="V828" s="4">
        <v>-1314.992</v>
      </c>
      <c r="W828">
        <v>18</v>
      </c>
      <c r="X828">
        <v>439.27</v>
      </c>
      <c r="Y828" s="7">
        <v>91116</v>
      </c>
    </row>
    <row r="829" spans="1:25" ht="12.75" customHeight="1">
      <c r="A829">
        <v>21710</v>
      </c>
      <c r="B829" t="s">
        <v>25</v>
      </c>
      <c r="C829" s="4">
        <v>0.03</v>
      </c>
      <c r="D829" s="8">
        <v>420.98</v>
      </c>
      <c r="E829" s="4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 s="5">
        <v>0.35</v>
      </c>
      <c r="O829" t="s">
        <v>33</v>
      </c>
      <c r="P829" t="s">
        <v>53</v>
      </c>
      <c r="Q829" t="s">
        <v>154</v>
      </c>
      <c r="R829" t="s">
        <v>1511</v>
      </c>
      <c r="S829" s="7">
        <v>43081</v>
      </c>
      <c r="T829" s="3">
        <v>42084</v>
      </c>
      <c r="U829" s="3">
        <v>42085</v>
      </c>
      <c r="V829" s="4">
        <v>3043.0310999999997</v>
      </c>
      <c r="W829">
        <v>10</v>
      </c>
      <c r="X829">
        <v>4410.1899999999996</v>
      </c>
      <c r="Y829" s="7">
        <v>87077</v>
      </c>
    </row>
    <row r="830" spans="1:25" ht="12.75" customHeight="1">
      <c r="A830">
        <v>23958</v>
      </c>
      <c r="B830" t="s">
        <v>37</v>
      </c>
      <c r="C830" s="4">
        <v>0.02</v>
      </c>
      <c r="D830" s="8">
        <v>30.98</v>
      </c>
      <c r="E830" s="4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 s="5">
        <v>0.79</v>
      </c>
      <c r="O830" t="s">
        <v>33</v>
      </c>
      <c r="P830" t="s">
        <v>53</v>
      </c>
      <c r="Q830" t="s">
        <v>154</v>
      </c>
      <c r="R830" t="s">
        <v>1513</v>
      </c>
      <c r="S830" s="7">
        <v>44145</v>
      </c>
      <c r="T830" s="3">
        <v>42185</v>
      </c>
      <c r="U830" s="3">
        <v>42186</v>
      </c>
      <c r="V830" s="4">
        <v>-44.624000000000002</v>
      </c>
      <c r="W830">
        <v>17</v>
      </c>
      <c r="X830">
        <v>552.89</v>
      </c>
      <c r="Y830" s="7">
        <v>87078</v>
      </c>
    </row>
    <row r="831" spans="1:25" ht="12.75" customHeight="1">
      <c r="A831">
        <v>22313</v>
      </c>
      <c r="B831" t="s">
        <v>56</v>
      </c>
      <c r="C831" s="4">
        <v>0.05</v>
      </c>
      <c r="D831" s="8">
        <v>20.27</v>
      </c>
      <c r="E831" s="4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 s="5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 s="7">
        <v>44145</v>
      </c>
      <c r="T831" s="3">
        <v>42149</v>
      </c>
      <c r="U831" s="3">
        <v>42150</v>
      </c>
      <c r="V831" s="4">
        <v>309.25400000000002</v>
      </c>
      <c r="W831">
        <v>30</v>
      </c>
      <c r="X831">
        <v>621.55999999999995</v>
      </c>
      <c r="Y831" s="7">
        <v>87079</v>
      </c>
    </row>
    <row r="832" spans="1:25" ht="12.75" customHeight="1">
      <c r="A832">
        <v>24937</v>
      </c>
      <c r="B832" t="s">
        <v>47</v>
      </c>
      <c r="C832" s="4">
        <v>0.04</v>
      </c>
      <c r="D832" s="8">
        <v>9.7799999999999994</v>
      </c>
      <c r="E832" s="4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 s="5">
        <v>0.43</v>
      </c>
      <c r="O832" t="s">
        <v>33</v>
      </c>
      <c r="P832" t="s">
        <v>53</v>
      </c>
      <c r="Q832" t="s">
        <v>154</v>
      </c>
      <c r="R832" t="s">
        <v>1517</v>
      </c>
      <c r="S832" s="7">
        <v>44691</v>
      </c>
      <c r="T832" s="3">
        <v>42025</v>
      </c>
      <c r="U832" s="3">
        <v>42026</v>
      </c>
      <c r="V832" s="4">
        <v>61.292699999999996</v>
      </c>
      <c r="W832">
        <v>9</v>
      </c>
      <c r="X832">
        <v>88.83</v>
      </c>
      <c r="Y832" s="7">
        <v>87076</v>
      </c>
    </row>
    <row r="833" spans="1:25" ht="12.75" customHeight="1">
      <c r="A833">
        <v>7544</v>
      </c>
      <c r="B833" t="s">
        <v>37</v>
      </c>
      <c r="C833" s="4">
        <v>7.0000000000000007E-2</v>
      </c>
      <c r="D833" s="8">
        <v>8.9499999999999993</v>
      </c>
      <c r="E833" s="4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 s="5">
        <v>0.39</v>
      </c>
      <c r="O833" t="s">
        <v>33</v>
      </c>
      <c r="P833" t="s">
        <v>34</v>
      </c>
      <c r="Q833" t="s">
        <v>45</v>
      </c>
      <c r="R833" t="s">
        <v>663</v>
      </c>
      <c r="S833" s="7">
        <v>90049</v>
      </c>
      <c r="T833" s="3">
        <v>42090</v>
      </c>
      <c r="U833" s="3">
        <v>42091</v>
      </c>
      <c r="V833" s="4">
        <v>91.73</v>
      </c>
      <c r="W833">
        <v>36</v>
      </c>
      <c r="X833">
        <v>307.64999999999998</v>
      </c>
      <c r="Y833" s="7">
        <v>53953</v>
      </c>
    </row>
    <row r="834" spans="1:25" ht="12.75" customHeight="1">
      <c r="A834">
        <v>25544</v>
      </c>
      <c r="B834" t="s">
        <v>37</v>
      </c>
      <c r="C834" s="4">
        <v>7.0000000000000007E-2</v>
      </c>
      <c r="D834" s="8">
        <v>8.9499999999999993</v>
      </c>
      <c r="E834" s="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 s="5">
        <v>0.39</v>
      </c>
      <c r="O834" t="s">
        <v>33</v>
      </c>
      <c r="P834" t="s">
        <v>61</v>
      </c>
      <c r="Q834" t="s">
        <v>300</v>
      </c>
      <c r="R834" t="s">
        <v>1485</v>
      </c>
      <c r="S834" s="7">
        <v>48708</v>
      </c>
      <c r="T834" s="3">
        <v>42090</v>
      </c>
      <c r="U834" s="3">
        <v>42091</v>
      </c>
      <c r="V834" s="4">
        <v>53.067899999999995</v>
      </c>
      <c r="W834">
        <v>9</v>
      </c>
      <c r="X834">
        <v>76.91</v>
      </c>
      <c r="Y834" s="7">
        <v>91362</v>
      </c>
    </row>
    <row r="835" spans="1:25" ht="12.75" customHeight="1">
      <c r="A835">
        <v>22745</v>
      </c>
      <c r="B835" t="s">
        <v>37</v>
      </c>
      <c r="C835" s="4">
        <v>0.05</v>
      </c>
      <c r="D835" s="8">
        <v>9.65</v>
      </c>
      <c r="E835" s="4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 s="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 s="7">
        <v>48708</v>
      </c>
      <c r="T835" s="3">
        <v>42063</v>
      </c>
      <c r="U835" s="3">
        <v>42063</v>
      </c>
      <c r="V835" s="4">
        <v>-14.6432</v>
      </c>
      <c r="W835">
        <v>15</v>
      </c>
      <c r="X835">
        <v>151.34</v>
      </c>
      <c r="Y835" s="7">
        <v>91363</v>
      </c>
    </row>
    <row r="836" spans="1:25" ht="12.75" customHeight="1">
      <c r="A836">
        <v>21806</v>
      </c>
      <c r="B836" t="s">
        <v>25</v>
      </c>
      <c r="C836" s="4">
        <v>0.06</v>
      </c>
      <c r="D836" s="8">
        <v>99.99</v>
      </c>
      <c r="E836" s="4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 s="5">
        <v>0.52</v>
      </c>
      <c r="O836" t="s">
        <v>33</v>
      </c>
      <c r="P836" t="s">
        <v>61</v>
      </c>
      <c r="Q836" t="s">
        <v>178</v>
      </c>
      <c r="R836" t="s">
        <v>1522</v>
      </c>
      <c r="S836" s="7">
        <v>60016</v>
      </c>
      <c r="T836" s="3">
        <v>42074</v>
      </c>
      <c r="U836" s="3">
        <v>42077</v>
      </c>
      <c r="V836" s="4">
        <v>-127.56</v>
      </c>
      <c r="W836">
        <v>3</v>
      </c>
      <c r="X836">
        <v>290.24</v>
      </c>
      <c r="Y836" s="7">
        <v>91235</v>
      </c>
    </row>
    <row r="837" spans="1:25" ht="12.75" customHeight="1">
      <c r="A837">
        <v>21807</v>
      </c>
      <c r="B837" t="s">
        <v>25</v>
      </c>
      <c r="C837" s="4">
        <v>0</v>
      </c>
      <c r="D837" s="8">
        <v>193.17</v>
      </c>
      <c r="E837" s="4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 s="5">
        <v>0.71</v>
      </c>
      <c r="O837" t="s">
        <v>33</v>
      </c>
      <c r="P837" t="s">
        <v>61</v>
      </c>
      <c r="Q837" t="s">
        <v>178</v>
      </c>
      <c r="R837" t="s">
        <v>1522</v>
      </c>
      <c r="S837" s="7">
        <v>60016</v>
      </c>
      <c r="T837" s="3">
        <v>42074</v>
      </c>
      <c r="U837" s="3">
        <v>42075</v>
      </c>
      <c r="V837" s="4">
        <v>282.18</v>
      </c>
      <c r="W837">
        <v>5</v>
      </c>
      <c r="X837">
        <v>971.4</v>
      </c>
      <c r="Y837" s="7">
        <v>91235</v>
      </c>
    </row>
    <row r="838" spans="1:25" ht="12.75" customHeight="1">
      <c r="A838">
        <v>21808</v>
      </c>
      <c r="B838" t="s">
        <v>25</v>
      </c>
      <c r="C838" s="4">
        <v>0.08</v>
      </c>
      <c r="D838" s="8">
        <v>20.99</v>
      </c>
      <c r="E838" s="4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 s="5">
        <v>0.81</v>
      </c>
      <c r="O838" t="s">
        <v>33</v>
      </c>
      <c r="P838" t="s">
        <v>61</v>
      </c>
      <c r="Q838" t="s">
        <v>178</v>
      </c>
      <c r="R838" t="s">
        <v>1522</v>
      </c>
      <c r="S838" s="7">
        <v>60016</v>
      </c>
      <c r="T838" s="3">
        <v>42074</v>
      </c>
      <c r="U838" s="3">
        <v>42074</v>
      </c>
      <c r="V838" s="4">
        <v>-96.337999999999994</v>
      </c>
      <c r="W838">
        <v>11</v>
      </c>
      <c r="X838">
        <v>193.51</v>
      </c>
      <c r="Y838" s="7">
        <v>91235</v>
      </c>
    </row>
    <row r="839" spans="1:25" ht="12.75" customHeight="1">
      <c r="A839">
        <v>22763</v>
      </c>
      <c r="B839" t="s">
        <v>37</v>
      </c>
      <c r="C839" s="4">
        <v>0.04</v>
      </c>
      <c r="D839" s="8">
        <v>11.5</v>
      </c>
      <c r="E839" s="4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 s="5">
        <v>0.4</v>
      </c>
      <c r="O839" t="s">
        <v>33</v>
      </c>
      <c r="P839" t="s">
        <v>61</v>
      </c>
      <c r="Q839" t="s">
        <v>178</v>
      </c>
      <c r="R839" t="s">
        <v>1526</v>
      </c>
      <c r="S839" s="7">
        <v>60516</v>
      </c>
      <c r="T839" s="3">
        <v>42055</v>
      </c>
      <c r="U839" s="3">
        <v>42058</v>
      </c>
      <c r="V839" s="4">
        <v>-23.357880000000002</v>
      </c>
      <c r="W839">
        <v>14</v>
      </c>
      <c r="X839">
        <v>157.81</v>
      </c>
      <c r="Y839" s="7">
        <v>91236</v>
      </c>
    </row>
    <row r="840" spans="1:25" ht="12.75" customHeight="1">
      <c r="A840">
        <v>22764</v>
      </c>
      <c r="B840" t="s">
        <v>37</v>
      </c>
      <c r="C840" s="4">
        <v>0.02</v>
      </c>
      <c r="D840" s="8">
        <v>15.7</v>
      </c>
      <c r="E840" s="4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 s="5">
        <v>0.6</v>
      </c>
      <c r="O840" t="s">
        <v>33</v>
      </c>
      <c r="P840" t="s">
        <v>61</v>
      </c>
      <c r="Q840" t="s">
        <v>178</v>
      </c>
      <c r="R840" t="s">
        <v>1526</v>
      </c>
      <c r="S840" s="7">
        <v>60516</v>
      </c>
      <c r="T840" s="3">
        <v>42055</v>
      </c>
      <c r="U840" s="3">
        <v>42056</v>
      </c>
      <c r="V840" s="4">
        <v>-18.241599999999998</v>
      </c>
      <c r="W840">
        <v>1</v>
      </c>
      <c r="X840">
        <v>19.440000000000001</v>
      </c>
      <c r="Y840" s="7">
        <v>91236</v>
      </c>
    </row>
    <row r="841" spans="1:25" ht="12.75" customHeight="1">
      <c r="A841">
        <v>22765</v>
      </c>
      <c r="B841" t="s">
        <v>37</v>
      </c>
      <c r="C841" s="4">
        <v>0.05</v>
      </c>
      <c r="D841" s="8">
        <v>225.02</v>
      </c>
      <c r="E841" s="4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 s="5">
        <v>0.72</v>
      </c>
      <c r="O841" t="s">
        <v>33</v>
      </c>
      <c r="P841" t="s">
        <v>61</v>
      </c>
      <c r="Q841" t="s">
        <v>178</v>
      </c>
      <c r="R841" t="s">
        <v>1526</v>
      </c>
      <c r="S841" s="7">
        <v>60516</v>
      </c>
      <c r="T841" s="3">
        <v>42055</v>
      </c>
      <c r="U841" s="3">
        <v>42057</v>
      </c>
      <c r="V841" s="4">
        <v>1428.9104</v>
      </c>
      <c r="W841">
        <v>21</v>
      </c>
      <c r="X841">
        <v>4636.63</v>
      </c>
      <c r="Y841" s="7">
        <v>91236</v>
      </c>
    </row>
    <row r="842" spans="1:25" ht="12.75" customHeight="1">
      <c r="A842">
        <v>18460</v>
      </c>
      <c r="B842" t="s">
        <v>25</v>
      </c>
      <c r="C842" s="4">
        <v>0.04</v>
      </c>
      <c r="D842" s="8">
        <v>119.99</v>
      </c>
      <c r="E842" s="4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 s="5">
        <v>0.36</v>
      </c>
      <c r="O842" t="s">
        <v>33</v>
      </c>
      <c r="P842" t="s">
        <v>61</v>
      </c>
      <c r="Q842" t="s">
        <v>506</v>
      </c>
      <c r="R842" t="s">
        <v>1530</v>
      </c>
      <c r="S842" s="7">
        <v>65721</v>
      </c>
      <c r="T842" s="3">
        <v>42171</v>
      </c>
      <c r="U842" s="3">
        <v>42173</v>
      </c>
      <c r="V842" s="4">
        <v>509.95830000000001</v>
      </c>
      <c r="W842">
        <v>6</v>
      </c>
      <c r="X842">
        <v>739.07</v>
      </c>
      <c r="Y842" s="7">
        <v>88004</v>
      </c>
    </row>
    <row r="843" spans="1:25" ht="12.75" customHeight="1">
      <c r="A843">
        <v>19472</v>
      </c>
      <c r="B843" t="s">
        <v>47</v>
      </c>
      <c r="C843" s="4">
        <v>0.06</v>
      </c>
      <c r="D843" s="8">
        <v>8.3699999999999992</v>
      </c>
      <c r="E843" s="4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 s="5">
        <v>0.59</v>
      </c>
      <c r="O843" t="s">
        <v>33</v>
      </c>
      <c r="P843" t="s">
        <v>53</v>
      </c>
      <c r="Q843" t="s">
        <v>415</v>
      </c>
      <c r="R843" t="s">
        <v>1532</v>
      </c>
      <c r="S843" s="7">
        <v>21222</v>
      </c>
      <c r="T843" s="3">
        <v>42074</v>
      </c>
      <c r="U843" s="3">
        <v>42076</v>
      </c>
      <c r="V843" s="4">
        <v>-255.65</v>
      </c>
      <c r="W843">
        <v>18</v>
      </c>
      <c r="X843">
        <v>157.63999999999999</v>
      </c>
      <c r="Y843" s="7">
        <v>85880</v>
      </c>
    </row>
    <row r="844" spans="1:25" ht="12.75" customHeight="1">
      <c r="A844">
        <v>19473</v>
      </c>
      <c r="B844" t="s">
        <v>47</v>
      </c>
      <c r="C844" s="4">
        <v>0.09</v>
      </c>
      <c r="D844" s="8">
        <v>6.48</v>
      </c>
      <c r="E844" s="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 s="5">
        <v>0.37</v>
      </c>
      <c r="O844" t="s">
        <v>33</v>
      </c>
      <c r="P844" t="s">
        <v>53</v>
      </c>
      <c r="Q844" t="s">
        <v>415</v>
      </c>
      <c r="R844" t="s">
        <v>1532</v>
      </c>
      <c r="S844" s="7">
        <v>21222</v>
      </c>
      <c r="T844" s="3">
        <v>42074</v>
      </c>
      <c r="U844" s="3">
        <v>42076</v>
      </c>
      <c r="V844" s="4">
        <v>-76.540000000000006</v>
      </c>
      <c r="W844">
        <v>6</v>
      </c>
      <c r="X844">
        <v>42.16</v>
      </c>
      <c r="Y844" s="7">
        <v>85880</v>
      </c>
    </row>
    <row r="845" spans="1:25" ht="12.75" customHeight="1">
      <c r="A845">
        <v>24286</v>
      </c>
      <c r="B845" t="s">
        <v>47</v>
      </c>
      <c r="C845" s="4">
        <v>0.09</v>
      </c>
      <c r="D845" s="8">
        <v>6.28</v>
      </c>
      <c r="E845" s="4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 s="5">
        <v>0.43</v>
      </c>
      <c r="O845" t="s">
        <v>33</v>
      </c>
      <c r="P845" t="s">
        <v>53</v>
      </c>
      <c r="Q845" t="s">
        <v>71</v>
      </c>
      <c r="R845" t="s">
        <v>1534</v>
      </c>
      <c r="S845" s="7">
        <v>14901</v>
      </c>
      <c r="T845" s="3">
        <v>42074</v>
      </c>
      <c r="U845" s="3">
        <v>42075</v>
      </c>
      <c r="V845" s="4">
        <v>-10.09</v>
      </c>
      <c r="W845">
        <v>2</v>
      </c>
      <c r="X845">
        <v>14.08</v>
      </c>
      <c r="Y845" s="7">
        <v>85880</v>
      </c>
    </row>
    <row r="846" spans="1:25" ht="12.75" customHeight="1">
      <c r="A846">
        <v>24287</v>
      </c>
      <c r="B846" t="s">
        <v>47</v>
      </c>
      <c r="C846" s="4">
        <v>0.03</v>
      </c>
      <c r="D846" s="8">
        <v>15.14</v>
      </c>
      <c r="E846" s="4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 s="5">
        <v>0.81</v>
      </c>
      <c r="O846" t="s">
        <v>33</v>
      </c>
      <c r="P846" t="s">
        <v>53</v>
      </c>
      <c r="Q846" t="s">
        <v>71</v>
      </c>
      <c r="R846" t="s">
        <v>1534</v>
      </c>
      <c r="S846" s="7">
        <v>14901</v>
      </c>
      <c r="T846" s="3">
        <v>42074</v>
      </c>
      <c r="U846" s="3">
        <v>42076</v>
      </c>
      <c r="V846" s="4">
        <v>-92.87</v>
      </c>
      <c r="W846">
        <v>17</v>
      </c>
      <c r="X846">
        <v>256.73</v>
      </c>
      <c r="Y846" s="7">
        <v>85880</v>
      </c>
    </row>
    <row r="847" spans="1:25" ht="12.75" customHeight="1">
      <c r="A847">
        <v>20016</v>
      </c>
      <c r="B847" t="s">
        <v>56</v>
      </c>
      <c r="C847" s="4">
        <v>0.05</v>
      </c>
      <c r="D847" s="8">
        <v>2.16</v>
      </c>
      <c r="E847" s="4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 s="5">
        <v>0.37</v>
      </c>
      <c r="O847" t="s">
        <v>33</v>
      </c>
      <c r="P847" t="s">
        <v>136</v>
      </c>
      <c r="Q847" t="s">
        <v>362</v>
      </c>
      <c r="R847" t="s">
        <v>1537</v>
      </c>
      <c r="S847" s="7">
        <v>33134</v>
      </c>
      <c r="T847" s="3">
        <v>42039</v>
      </c>
      <c r="U847" s="3">
        <v>42040</v>
      </c>
      <c r="V847" s="4">
        <v>-298.88600000000002</v>
      </c>
      <c r="W847">
        <v>8</v>
      </c>
      <c r="X847">
        <v>18.59</v>
      </c>
      <c r="Y847" s="7">
        <v>90731</v>
      </c>
    </row>
    <row r="848" spans="1:25" ht="12.75" customHeight="1">
      <c r="A848">
        <v>20017</v>
      </c>
      <c r="B848" t="s">
        <v>56</v>
      </c>
      <c r="C848" s="4">
        <v>0.03</v>
      </c>
      <c r="D848" s="8">
        <v>6.48</v>
      </c>
      <c r="E848" s="4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 s="5">
        <v>0.37</v>
      </c>
      <c r="O848" t="s">
        <v>33</v>
      </c>
      <c r="P848" t="s">
        <v>136</v>
      </c>
      <c r="Q848" t="s">
        <v>362</v>
      </c>
      <c r="R848" t="s">
        <v>1537</v>
      </c>
      <c r="S848" s="7">
        <v>33134</v>
      </c>
      <c r="T848" s="3">
        <v>42039</v>
      </c>
      <c r="U848" s="3">
        <v>42040</v>
      </c>
      <c r="V848" s="4">
        <v>-145.852</v>
      </c>
      <c r="W848">
        <v>9</v>
      </c>
      <c r="X848">
        <v>58.83</v>
      </c>
      <c r="Y848" s="7">
        <v>90731</v>
      </c>
    </row>
    <row r="849" spans="1:25" ht="12.75" customHeight="1">
      <c r="A849">
        <v>20018</v>
      </c>
      <c r="B849" t="s">
        <v>56</v>
      </c>
      <c r="C849" s="4">
        <v>0.08</v>
      </c>
      <c r="D849" s="8">
        <v>146.05000000000001</v>
      </c>
      <c r="E849" s="4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 s="5">
        <v>0.71</v>
      </c>
      <c r="O849" t="s">
        <v>33</v>
      </c>
      <c r="P849" t="s">
        <v>136</v>
      </c>
      <c r="Q849" t="s">
        <v>362</v>
      </c>
      <c r="R849" t="s">
        <v>1537</v>
      </c>
      <c r="S849" s="7">
        <v>33134</v>
      </c>
      <c r="T849" s="3">
        <v>42039</v>
      </c>
      <c r="U849" s="3">
        <v>42040</v>
      </c>
      <c r="V849" s="4">
        <v>-27.951000000000001</v>
      </c>
      <c r="W849">
        <v>11</v>
      </c>
      <c r="X849">
        <v>1557.66</v>
      </c>
      <c r="Y849" s="7">
        <v>90731</v>
      </c>
    </row>
    <row r="850" spans="1:25" ht="12.75" customHeight="1">
      <c r="A850">
        <v>21682</v>
      </c>
      <c r="B850" t="s">
        <v>47</v>
      </c>
      <c r="C850" s="4">
        <v>0.08</v>
      </c>
      <c r="D850" s="8">
        <v>3.69</v>
      </c>
      <c r="E850" s="4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 s="5">
        <v>0.38</v>
      </c>
      <c r="O850" t="s">
        <v>33</v>
      </c>
      <c r="P850" t="s">
        <v>136</v>
      </c>
      <c r="Q850" t="s">
        <v>362</v>
      </c>
      <c r="R850" t="s">
        <v>1540</v>
      </c>
      <c r="S850" s="7">
        <v>33065</v>
      </c>
      <c r="T850" s="3">
        <v>42131</v>
      </c>
      <c r="U850" s="3">
        <v>42134</v>
      </c>
      <c r="V850" s="4">
        <v>-3.6547000000000001</v>
      </c>
      <c r="W850">
        <v>38</v>
      </c>
      <c r="X850">
        <v>129.43</v>
      </c>
      <c r="Y850" s="7">
        <v>89193</v>
      </c>
    </row>
    <row r="851" spans="1:25" ht="12.75" customHeight="1">
      <c r="A851">
        <v>18868</v>
      </c>
      <c r="B851" t="s">
        <v>106</v>
      </c>
      <c r="C851" s="4">
        <v>0.08</v>
      </c>
      <c r="D851" s="8">
        <v>5.84</v>
      </c>
      <c r="E851" s="4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 s="5">
        <v>0.38</v>
      </c>
      <c r="O851" t="s">
        <v>33</v>
      </c>
      <c r="P851" t="s">
        <v>136</v>
      </c>
      <c r="Q851" t="s">
        <v>362</v>
      </c>
      <c r="R851" t="s">
        <v>1540</v>
      </c>
      <c r="S851" s="7">
        <v>33065</v>
      </c>
      <c r="T851" s="3">
        <v>42184</v>
      </c>
      <c r="U851" s="3">
        <v>42188</v>
      </c>
      <c r="V851" s="4">
        <v>731.92199999999991</v>
      </c>
      <c r="W851">
        <v>11</v>
      </c>
      <c r="X851">
        <v>61.39</v>
      </c>
      <c r="Y851" s="7">
        <v>89194</v>
      </c>
    </row>
    <row r="852" spans="1:25" ht="12.75" customHeight="1">
      <c r="A852">
        <v>18869</v>
      </c>
      <c r="B852" t="s">
        <v>106</v>
      </c>
      <c r="C852" s="4">
        <v>0</v>
      </c>
      <c r="D852" s="8">
        <v>205.99</v>
      </c>
      <c r="E852" s="4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 s="5">
        <v>0.6</v>
      </c>
      <c r="O852" t="s">
        <v>33</v>
      </c>
      <c r="P852" t="s">
        <v>136</v>
      </c>
      <c r="Q852" t="s">
        <v>362</v>
      </c>
      <c r="R852" t="s">
        <v>1540</v>
      </c>
      <c r="S852" s="7">
        <v>33065</v>
      </c>
      <c r="T852" s="3">
        <v>42184</v>
      </c>
      <c r="U852" s="3">
        <v>42187</v>
      </c>
      <c r="V852" s="4">
        <v>186.55799999999999</v>
      </c>
      <c r="W852">
        <v>13</v>
      </c>
      <c r="X852">
        <v>2435.52</v>
      </c>
      <c r="Y852" s="7">
        <v>89194</v>
      </c>
    </row>
    <row r="853" spans="1:25" ht="12.75" customHeight="1">
      <c r="A853">
        <v>18061</v>
      </c>
      <c r="B853" t="s">
        <v>106</v>
      </c>
      <c r="C853" s="4">
        <v>0</v>
      </c>
      <c r="D853" s="8">
        <v>85.99</v>
      </c>
      <c r="E853" s="4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 s="5">
        <v>0.85</v>
      </c>
      <c r="O853" t="s">
        <v>33</v>
      </c>
      <c r="P853" t="s">
        <v>61</v>
      </c>
      <c r="Q853" t="s">
        <v>130</v>
      </c>
      <c r="R853" t="s">
        <v>1544</v>
      </c>
      <c r="S853" s="7">
        <v>77840</v>
      </c>
      <c r="T853" s="3">
        <v>42168</v>
      </c>
      <c r="U853" s="3">
        <v>42173</v>
      </c>
      <c r="V853" s="4">
        <v>-138.03680000000003</v>
      </c>
      <c r="W853">
        <v>6</v>
      </c>
      <c r="X853">
        <v>464.86</v>
      </c>
      <c r="Y853" s="7">
        <v>86181</v>
      </c>
    </row>
    <row r="854" spans="1:25" ht="12.75" customHeight="1">
      <c r="A854">
        <v>23329</v>
      </c>
      <c r="B854" t="s">
        <v>47</v>
      </c>
      <c r="C854" s="4">
        <v>0.09</v>
      </c>
      <c r="D854" s="8">
        <v>20.98</v>
      </c>
      <c r="E854" s="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 s="5">
        <v>0.35</v>
      </c>
      <c r="O854" t="s">
        <v>33</v>
      </c>
      <c r="P854" t="s">
        <v>61</v>
      </c>
      <c r="Q854" t="s">
        <v>703</v>
      </c>
      <c r="R854" t="s">
        <v>1547</v>
      </c>
      <c r="S854" s="7">
        <v>47302</v>
      </c>
      <c r="T854" s="3">
        <v>42177</v>
      </c>
      <c r="U854" s="3">
        <v>42179</v>
      </c>
      <c r="V854" s="4">
        <v>199.1823</v>
      </c>
      <c r="W854">
        <v>14</v>
      </c>
      <c r="X854">
        <v>288.67</v>
      </c>
      <c r="Y854" s="7">
        <v>90303</v>
      </c>
    </row>
    <row r="855" spans="1:25" ht="12.75" customHeight="1">
      <c r="A855">
        <v>23470</v>
      </c>
      <c r="B855" t="s">
        <v>47</v>
      </c>
      <c r="C855" s="4">
        <v>0.06</v>
      </c>
      <c r="D855" s="8">
        <v>55.48</v>
      </c>
      <c r="E855" s="4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 s="5">
        <v>0.37</v>
      </c>
      <c r="O855" t="s">
        <v>33</v>
      </c>
      <c r="P855" t="s">
        <v>53</v>
      </c>
      <c r="Q855" t="s">
        <v>188</v>
      </c>
      <c r="R855" t="s">
        <v>511</v>
      </c>
      <c r="S855" s="7">
        <v>4210</v>
      </c>
      <c r="T855" s="3">
        <v>42169</v>
      </c>
      <c r="U855" s="3">
        <v>42169</v>
      </c>
      <c r="V855" s="4">
        <v>711.05189999999993</v>
      </c>
      <c r="W855">
        <v>19</v>
      </c>
      <c r="X855">
        <v>1030.51</v>
      </c>
      <c r="Y855" s="7">
        <v>89957</v>
      </c>
    </row>
    <row r="856" spans="1:25" ht="12.75" customHeight="1">
      <c r="A856">
        <v>23471</v>
      </c>
      <c r="B856" t="s">
        <v>47</v>
      </c>
      <c r="C856" s="4">
        <v>0.1</v>
      </c>
      <c r="D856" s="8">
        <v>122.99</v>
      </c>
      <c r="E856" s="4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 s="5">
        <v>0.74</v>
      </c>
      <c r="O856" t="s">
        <v>33</v>
      </c>
      <c r="P856" t="s">
        <v>61</v>
      </c>
      <c r="Q856" t="s">
        <v>62</v>
      </c>
      <c r="R856" t="s">
        <v>1551</v>
      </c>
      <c r="S856" s="7">
        <v>55305</v>
      </c>
      <c r="T856" s="3">
        <v>42169</v>
      </c>
      <c r="U856" s="3">
        <v>42170</v>
      </c>
      <c r="V856" s="4">
        <v>-899.67499999999995</v>
      </c>
      <c r="W856">
        <v>17</v>
      </c>
      <c r="X856">
        <v>2026.91</v>
      </c>
      <c r="Y856" s="7">
        <v>89957</v>
      </c>
    </row>
    <row r="857" spans="1:25" ht="12.75" customHeight="1">
      <c r="A857">
        <v>19269</v>
      </c>
      <c r="B857" t="s">
        <v>25</v>
      </c>
      <c r="C857" s="4">
        <v>0.04</v>
      </c>
      <c r="D857" s="8">
        <v>11.34</v>
      </c>
      <c r="E857" s="4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 s="5">
        <v>0.36</v>
      </c>
      <c r="O857" t="s">
        <v>33</v>
      </c>
      <c r="P857" t="s">
        <v>136</v>
      </c>
      <c r="Q857" t="s">
        <v>1278</v>
      </c>
      <c r="R857" t="s">
        <v>1553</v>
      </c>
      <c r="S857" s="7">
        <v>35211</v>
      </c>
      <c r="T857" s="3">
        <v>42045</v>
      </c>
      <c r="U857" s="3">
        <v>42046</v>
      </c>
      <c r="V857" s="4">
        <v>-189.22399999999999</v>
      </c>
      <c r="W857">
        <v>10</v>
      </c>
      <c r="X857">
        <v>115.53</v>
      </c>
      <c r="Y857" s="7">
        <v>86812</v>
      </c>
    </row>
    <row r="858" spans="1:25" ht="12.75" customHeight="1">
      <c r="A858">
        <v>24974</v>
      </c>
      <c r="B858" t="s">
        <v>47</v>
      </c>
      <c r="C858" s="4">
        <v>0.03</v>
      </c>
      <c r="D858" s="8">
        <v>30.98</v>
      </c>
      <c r="E858" s="4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 s="5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 s="7">
        <v>35601</v>
      </c>
      <c r="T858" s="3">
        <v>42013</v>
      </c>
      <c r="U858" s="3">
        <v>42015</v>
      </c>
      <c r="V858" s="4">
        <v>0.50999999999999868</v>
      </c>
      <c r="W858">
        <v>5</v>
      </c>
      <c r="X858">
        <v>162.38999999999999</v>
      </c>
      <c r="Y858" s="7">
        <v>86813</v>
      </c>
    </row>
    <row r="859" spans="1:25" ht="12.75" customHeight="1">
      <c r="A859">
        <v>22253</v>
      </c>
      <c r="B859" t="s">
        <v>106</v>
      </c>
      <c r="C859" s="4">
        <v>0.03</v>
      </c>
      <c r="D859" s="8">
        <v>65.989999999999995</v>
      </c>
      <c r="E859" s="4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 s="5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 s="7">
        <v>35601</v>
      </c>
      <c r="T859" s="3">
        <v>42093</v>
      </c>
      <c r="U859" s="3">
        <v>42103</v>
      </c>
      <c r="V859" s="4">
        <v>-52.248000000000005</v>
      </c>
      <c r="W859">
        <v>23</v>
      </c>
      <c r="X859">
        <v>1316.03</v>
      </c>
      <c r="Y859" s="7">
        <v>86814</v>
      </c>
    </row>
    <row r="860" spans="1:25" ht="12.75" customHeight="1">
      <c r="A860">
        <v>21455</v>
      </c>
      <c r="B860" t="s">
        <v>106</v>
      </c>
      <c r="C860" s="4">
        <v>0.09</v>
      </c>
      <c r="D860" s="8">
        <v>50.98</v>
      </c>
      <c r="E860" s="4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 s="5">
        <v>0.73</v>
      </c>
      <c r="O860" t="s">
        <v>33</v>
      </c>
      <c r="P860" t="s">
        <v>136</v>
      </c>
      <c r="Q860" t="s">
        <v>1278</v>
      </c>
      <c r="R860" t="s">
        <v>1556</v>
      </c>
      <c r="S860" s="7">
        <v>35601</v>
      </c>
      <c r="T860" s="3">
        <v>42145</v>
      </c>
      <c r="U860" s="3">
        <v>42152</v>
      </c>
      <c r="V860" s="4">
        <v>70.175999999999988</v>
      </c>
      <c r="W860">
        <v>28</v>
      </c>
      <c r="X860">
        <v>1395.41</v>
      </c>
      <c r="Y860" s="7">
        <v>86815</v>
      </c>
    </row>
    <row r="861" spans="1:25" ht="12.75" customHeight="1">
      <c r="A861">
        <v>24975</v>
      </c>
      <c r="B861" t="s">
        <v>47</v>
      </c>
      <c r="C861" s="4">
        <v>0.01</v>
      </c>
      <c r="D861" s="8">
        <v>525.98</v>
      </c>
      <c r="E861" s="4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 s="5">
        <v>0.37</v>
      </c>
      <c r="O861" t="s">
        <v>33</v>
      </c>
      <c r="P861" t="s">
        <v>136</v>
      </c>
      <c r="Q861" t="s">
        <v>322</v>
      </c>
      <c r="R861" t="s">
        <v>1559</v>
      </c>
      <c r="S861" s="7">
        <v>27288</v>
      </c>
      <c r="T861" s="3">
        <v>42013</v>
      </c>
      <c r="U861" s="3">
        <v>42015</v>
      </c>
      <c r="V861" s="4">
        <v>-161.92400000000001</v>
      </c>
      <c r="W861">
        <v>9</v>
      </c>
      <c r="X861">
        <v>4920.8100000000004</v>
      </c>
      <c r="Y861" s="7">
        <v>86813</v>
      </c>
    </row>
    <row r="862" spans="1:25" ht="12.75" customHeight="1">
      <c r="A862">
        <v>21199</v>
      </c>
      <c r="B862" t="s">
        <v>47</v>
      </c>
      <c r="C862" s="4">
        <v>7.0000000000000007E-2</v>
      </c>
      <c r="D862" s="8">
        <v>4.91</v>
      </c>
      <c r="E862" s="4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 s="5">
        <v>0.36</v>
      </c>
      <c r="O862" t="s">
        <v>33</v>
      </c>
      <c r="P862" t="s">
        <v>136</v>
      </c>
      <c r="Q862" t="s">
        <v>362</v>
      </c>
      <c r="R862" t="s">
        <v>1562</v>
      </c>
      <c r="S862" s="7">
        <v>32137</v>
      </c>
      <c r="T862" s="3">
        <v>42021</v>
      </c>
      <c r="U862" s="3">
        <v>42022</v>
      </c>
      <c r="V862" s="4">
        <v>-157.696</v>
      </c>
      <c r="W862">
        <v>6</v>
      </c>
      <c r="X862">
        <v>28.22</v>
      </c>
      <c r="Y862" s="7">
        <v>88852</v>
      </c>
    </row>
    <row r="863" spans="1:25" ht="12.75" customHeight="1">
      <c r="A863">
        <v>21596</v>
      </c>
      <c r="B863" t="s">
        <v>25</v>
      </c>
      <c r="C863" s="4">
        <v>0.02</v>
      </c>
      <c r="D863" s="8">
        <v>4.8899999999999997</v>
      </c>
      <c r="E863" s="4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 s="5">
        <v>0.66</v>
      </c>
      <c r="O863" t="s">
        <v>33</v>
      </c>
      <c r="P863" t="s">
        <v>61</v>
      </c>
      <c r="Q863" t="s">
        <v>506</v>
      </c>
      <c r="R863" t="s">
        <v>1564</v>
      </c>
      <c r="S863" s="7">
        <v>63130</v>
      </c>
      <c r="T863" s="3">
        <v>42041</v>
      </c>
      <c r="U863" s="3">
        <v>42042</v>
      </c>
      <c r="V863" s="4">
        <v>-56.445999999999998</v>
      </c>
      <c r="W863">
        <v>14</v>
      </c>
      <c r="X863">
        <v>74.010000000000005</v>
      </c>
      <c r="Y863" s="7">
        <v>91328</v>
      </c>
    </row>
    <row r="864" spans="1:25" ht="12.75" customHeight="1">
      <c r="A864">
        <v>21597</v>
      </c>
      <c r="B864" t="s">
        <v>25</v>
      </c>
      <c r="C864" s="4">
        <v>7.0000000000000007E-2</v>
      </c>
      <c r="D864" s="8">
        <v>10.06</v>
      </c>
      <c r="E864" s="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 s="5">
        <v>0.39</v>
      </c>
      <c r="O864" t="s">
        <v>33</v>
      </c>
      <c r="P864" t="s">
        <v>61</v>
      </c>
      <c r="Q864" t="s">
        <v>506</v>
      </c>
      <c r="R864" t="s">
        <v>1564</v>
      </c>
      <c r="S864" s="7">
        <v>63130</v>
      </c>
      <c r="T864" s="3">
        <v>42041</v>
      </c>
      <c r="U864" s="3">
        <v>42042</v>
      </c>
      <c r="V864" s="4">
        <v>33.189</v>
      </c>
      <c r="W864">
        <v>5</v>
      </c>
      <c r="X864">
        <v>48.1</v>
      </c>
      <c r="Y864" s="7">
        <v>91328</v>
      </c>
    </row>
    <row r="865" spans="1:25" ht="12.75" customHeight="1">
      <c r="A865">
        <v>23147</v>
      </c>
      <c r="B865" t="s">
        <v>106</v>
      </c>
      <c r="C865" s="4">
        <v>0</v>
      </c>
      <c r="D865" s="8">
        <v>599.99</v>
      </c>
      <c r="E865" s="4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 s="5">
        <v>0.44</v>
      </c>
      <c r="O865" t="s">
        <v>33</v>
      </c>
      <c r="P865" t="s">
        <v>61</v>
      </c>
      <c r="Q865" t="s">
        <v>703</v>
      </c>
      <c r="R865" t="s">
        <v>1567</v>
      </c>
      <c r="S865" s="7">
        <v>47374</v>
      </c>
      <c r="T865" s="3">
        <v>42178</v>
      </c>
      <c r="U865" s="3">
        <v>42180</v>
      </c>
      <c r="V865" s="4">
        <v>-367.16500000000002</v>
      </c>
      <c r="W865">
        <v>18</v>
      </c>
      <c r="X865">
        <v>11015.82</v>
      </c>
      <c r="Y865" s="7">
        <v>88487</v>
      </c>
    </row>
    <row r="866" spans="1:25" ht="12.75" customHeight="1">
      <c r="A866">
        <v>19627</v>
      </c>
      <c r="B866" t="s">
        <v>106</v>
      </c>
      <c r="C866" s="4">
        <v>7.0000000000000007E-2</v>
      </c>
      <c r="D866" s="8">
        <v>17.7</v>
      </c>
      <c r="E866" s="4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 s="5">
        <v>0.59</v>
      </c>
      <c r="O866" t="s">
        <v>33</v>
      </c>
      <c r="P866" t="s">
        <v>136</v>
      </c>
      <c r="Q866" t="s">
        <v>671</v>
      </c>
      <c r="R866" t="s">
        <v>1570</v>
      </c>
      <c r="S866" s="7">
        <v>39530</v>
      </c>
      <c r="T866" s="3">
        <v>42180</v>
      </c>
      <c r="U866" s="3">
        <v>42186</v>
      </c>
      <c r="V866" s="4">
        <v>-243.54400000000001</v>
      </c>
      <c r="W866">
        <v>18</v>
      </c>
      <c r="X866">
        <v>300.67</v>
      </c>
      <c r="Y866" s="7">
        <v>87488</v>
      </c>
    </row>
    <row r="867" spans="1:25" ht="12.75" customHeight="1">
      <c r="A867">
        <v>20993</v>
      </c>
      <c r="B867" t="s">
        <v>47</v>
      </c>
      <c r="C867" s="4">
        <v>0.01</v>
      </c>
      <c r="D867" s="8">
        <v>348.21</v>
      </c>
      <c r="E867" s="4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 s="5">
        <v>0.62</v>
      </c>
      <c r="O867" t="s">
        <v>33</v>
      </c>
      <c r="P867" t="s">
        <v>136</v>
      </c>
      <c r="Q867" t="s">
        <v>671</v>
      </c>
      <c r="R867" t="s">
        <v>1573</v>
      </c>
      <c r="S867" s="7">
        <v>39056</v>
      </c>
      <c r="T867" s="3">
        <v>42005</v>
      </c>
      <c r="U867" s="3">
        <v>42008</v>
      </c>
      <c r="V867" s="4">
        <v>-337.09199999999998</v>
      </c>
      <c r="W867">
        <v>2</v>
      </c>
      <c r="X867">
        <v>723.54</v>
      </c>
      <c r="Y867" s="7">
        <v>87486</v>
      </c>
    </row>
    <row r="868" spans="1:25" ht="12.75" customHeight="1">
      <c r="A868">
        <v>24862</v>
      </c>
      <c r="B868" t="s">
        <v>37</v>
      </c>
      <c r="C868" s="4">
        <v>0.03</v>
      </c>
      <c r="D868" s="8">
        <v>12.28</v>
      </c>
      <c r="E868" s="4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 s="5">
        <v>0.38</v>
      </c>
      <c r="O868" t="s">
        <v>33</v>
      </c>
      <c r="P868" t="s">
        <v>136</v>
      </c>
      <c r="Q868" t="s">
        <v>671</v>
      </c>
      <c r="R868" t="s">
        <v>1576</v>
      </c>
      <c r="S868" s="7">
        <v>38701</v>
      </c>
      <c r="T868" s="3">
        <v>42085</v>
      </c>
      <c r="U868" s="3">
        <v>42087</v>
      </c>
      <c r="V868" s="4">
        <v>68.675999999999988</v>
      </c>
      <c r="W868">
        <v>7</v>
      </c>
      <c r="X868">
        <v>87.53</v>
      </c>
      <c r="Y868" s="7">
        <v>87484</v>
      </c>
    </row>
    <row r="869" spans="1:25" ht="12.75" customHeight="1">
      <c r="A869">
        <v>26135</v>
      </c>
      <c r="B869" t="s">
        <v>25</v>
      </c>
      <c r="C869" s="4">
        <v>0.04</v>
      </c>
      <c r="D869" s="8">
        <v>10.98</v>
      </c>
      <c r="E869" s="4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 s="5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 s="7">
        <v>39503</v>
      </c>
      <c r="T869" s="3">
        <v>42142</v>
      </c>
      <c r="U869" s="3">
        <v>42142</v>
      </c>
      <c r="V869" s="4">
        <v>481.03199999999998</v>
      </c>
      <c r="W869">
        <v>15</v>
      </c>
      <c r="X869">
        <v>172.22</v>
      </c>
      <c r="Y869" s="7">
        <v>87485</v>
      </c>
    </row>
    <row r="870" spans="1:25" ht="12.75" customHeight="1">
      <c r="A870">
        <v>25409</v>
      </c>
      <c r="B870" t="s">
        <v>25</v>
      </c>
      <c r="C870" s="4">
        <v>0.03</v>
      </c>
      <c r="D870" s="8">
        <v>124.49</v>
      </c>
      <c r="E870" s="4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 s="5">
        <v>0.63</v>
      </c>
      <c r="O870" t="s">
        <v>33</v>
      </c>
      <c r="P870" t="s">
        <v>136</v>
      </c>
      <c r="Q870" t="s">
        <v>671</v>
      </c>
      <c r="R870" t="s">
        <v>1579</v>
      </c>
      <c r="S870" s="7">
        <v>39503</v>
      </c>
      <c r="T870" s="3">
        <v>42048</v>
      </c>
      <c r="U870" s="3">
        <v>42049</v>
      </c>
      <c r="V870" s="4">
        <v>-4.0180000000000007</v>
      </c>
      <c r="W870">
        <v>7</v>
      </c>
      <c r="X870">
        <v>894.88</v>
      </c>
      <c r="Y870" s="7">
        <v>87487</v>
      </c>
    </row>
    <row r="871" spans="1:25" ht="12.75" customHeight="1">
      <c r="A871">
        <v>18294</v>
      </c>
      <c r="B871" t="s">
        <v>37</v>
      </c>
      <c r="C871" s="4">
        <v>0.06</v>
      </c>
      <c r="D871" s="8">
        <v>2.89</v>
      </c>
      <c r="E871" s="4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 s="5">
        <v>0.38</v>
      </c>
      <c r="O871" t="s">
        <v>33</v>
      </c>
      <c r="P871" t="s">
        <v>136</v>
      </c>
      <c r="Q871" t="s">
        <v>137</v>
      </c>
      <c r="R871" t="s">
        <v>1454</v>
      </c>
      <c r="S871" s="7">
        <v>22304</v>
      </c>
      <c r="T871" s="3">
        <v>42156</v>
      </c>
      <c r="U871" s="3">
        <v>42158</v>
      </c>
      <c r="V871" s="4">
        <v>-2.0097</v>
      </c>
      <c r="W871">
        <v>6</v>
      </c>
      <c r="X871">
        <v>16.670000000000002</v>
      </c>
      <c r="Y871" s="7">
        <v>87425</v>
      </c>
    </row>
    <row r="872" spans="1:25" ht="12.75" customHeight="1">
      <c r="A872">
        <v>18295</v>
      </c>
      <c r="B872" t="s">
        <v>37</v>
      </c>
      <c r="C872" s="4">
        <v>0.08</v>
      </c>
      <c r="D872" s="8">
        <v>22.84</v>
      </c>
      <c r="E872" s="4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 s="5">
        <v>0.39</v>
      </c>
      <c r="O872" t="s">
        <v>33</v>
      </c>
      <c r="P872" t="s">
        <v>136</v>
      </c>
      <c r="Q872" t="s">
        <v>137</v>
      </c>
      <c r="R872" t="s">
        <v>1454</v>
      </c>
      <c r="S872" s="7">
        <v>22304</v>
      </c>
      <c r="T872" s="3">
        <v>42156</v>
      </c>
      <c r="U872" s="3">
        <v>42158</v>
      </c>
      <c r="V872" s="4">
        <v>-477.37200000000007</v>
      </c>
      <c r="W872">
        <v>9</v>
      </c>
      <c r="X872">
        <v>195.16</v>
      </c>
      <c r="Y872" s="7">
        <v>87425</v>
      </c>
    </row>
    <row r="873" spans="1:25" ht="12.75" customHeight="1">
      <c r="A873">
        <v>18511</v>
      </c>
      <c r="B873" t="s">
        <v>106</v>
      </c>
      <c r="C873" s="4">
        <v>0.09</v>
      </c>
      <c r="D873" s="8">
        <v>60.98</v>
      </c>
      <c r="E873" s="4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 s="5">
        <v>0.59</v>
      </c>
      <c r="O873" t="s">
        <v>33</v>
      </c>
      <c r="P873" t="s">
        <v>136</v>
      </c>
      <c r="Q873" t="s">
        <v>137</v>
      </c>
      <c r="R873" t="s">
        <v>1584</v>
      </c>
      <c r="S873" s="7">
        <v>22003</v>
      </c>
      <c r="T873" s="3">
        <v>42088</v>
      </c>
      <c r="U873" s="3">
        <v>42096</v>
      </c>
      <c r="V873" s="4">
        <v>-954.75800000000004</v>
      </c>
      <c r="W873">
        <v>15</v>
      </c>
      <c r="X873">
        <v>879.62</v>
      </c>
      <c r="Y873" s="7">
        <v>87426</v>
      </c>
    </row>
    <row r="874" spans="1:25" ht="12.75" customHeight="1">
      <c r="A874">
        <v>18512</v>
      </c>
      <c r="B874" t="s">
        <v>106</v>
      </c>
      <c r="C874" s="4">
        <v>0.05</v>
      </c>
      <c r="D874" s="8">
        <v>29.89</v>
      </c>
      <c r="E874" s="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 s="5">
        <v>0.5</v>
      </c>
      <c r="O874" t="s">
        <v>33</v>
      </c>
      <c r="P874" t="s">
        <v>136</v>
      </c>
      <c r="Q874" t="s">
        <v>137</v>
      </c>
      <c r="R874" t="s">
        <v>1584</v>
      </c>
      <c r="S874" s="7">
        <v>22003</v>
      </c>
      <c r="T874" s="3">
        <v>42088</v>
      </c>
      <c r="U874" s="3">
        <v>42090</v>
      </c>
      <c r="V874" s="4">
        <v>219.4734</v>
      </c>
      <c r="W874">
        <v>12</v>
      </c>
      <c r="X874">
        <v>361.19</v>
      </c>
      <c r="Y874" s="7">
        <v>87426</v>
      </c>
    </row>
    <row r="875" spans="1:25" ht="12.75" customHeight="1">
      <c r="A875">
        <v>26229</v>
      </c>
      <c r="B875" t="s">
        <v>47</v>
      </c>
      <c r="C875" s="4">
        <v>0.1</v>
      </c>
      <c r="D875" s="8">
        <v>226.67</v>
      </c>
      <c r="E875" s="4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 s="5">
        <v>0.59</v>
      </c>
      <c r="O875" t="s">
        <v>33</v>
      </c>
      <c r="P875" t="s">
        <v>136</v>
      </c>
      <c r="Q875" t="s">
        <v>137</v>
      </c>
      <c r="R875" t="s">
        <v>1587</v>
      </c>
      <c r="S875" s="7">
        <v>24060</v>
      </c>
      <c r="T875" s="3">
        <v>42109</v>
      </c>
      <c r="U875" s="3">
        <v>42111</v>
      </c>
      <c r="V875" s="4">
        <v>-390.76800000000003</v>
      </c>
      <c r="W875">
        <v>5</v>
      </c>
      <c r="X875">
        <v>1088.26</v>
      </c>
      <c r="Y875" s="7">
        <v>87424</v>
      </c>
    </row>
    <row r="876" spans="1:25" ht="12.75" customHeight="1">
      <c r="A876">
        <v>19130</v>
      </c>
      <c r="B876" t="s">
        <v>25</v>
      </c>
      <c r="C876" s="4">
        <v>0.02</v>
      </c>
      <c r="D876" s="8">
        <v>11.34</v>
      </c>
      <c r="E876" s="4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 s="5">
        <v>0.36</v>
      </c>
      <c r="O876" t="s">
        <v>33</v>
      </c>
      <c r="P876" t="s">
        <v>61</v>
      </c>
      <c r="Q876" t="s">
        <v>130</v>
      </c>
      <c r="R876" t="s">
        <v>1444</v>
      </c>
      <c r="S876" s="7">
        <v>76063</v>
      </c>
      <c r="T876" s="3">
        <v>42064</v>
      </c>
      <c r="U876" s="3">
        <v>42065</v>
      </c>
      <c r="V876" s="4">
        <v>-155.21</v>
      </c>
      <c r="W876">
        <v>9</v>
      </c>
      <c r="X876">
        <v>105.75</v>
      </c>
      <c r="Y876" s="7">
        <v>88093</v>
      </c>
    </row>
    <row r="877" spans="1:25" ht="12.75" customHeight="1">
      <c r="A877">
        <v>19208</v>
      </c>
      <c r="B877" t="s">
        <v>47</v>
      </c>
      <c r="C877" s="4">
        <v>0.05</v>
      </c>
      <c r="D877" s="8">
        <v>12.2</v>
      </c>
      <c r="E877" s="4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 s="5">
        <v>0.43</v>
      </c>
      <c r="O877" t="s">
        <v>33</v>
      </c>
      <c r="P877" t="s">
        <v>61</v>
      </c>
      <c r="Q877" t="s">
        <v>130</v>
      </c>
      <c r="R877" t="s">
        <v>1444</v>
      </c>
      <c r="S877" s="7">
        <v>76063</v>
      </c>
      <c r="T877" s="3">
        <v>42107</v>
      </c>
      <c r="U877" s="3">
        <v>42108</v>
      </c>
      <c r="V877" s="4">
        <v>-6.6420000000000003</v>
      </c>
      <c r="W877">
        <v>5</v>
      </c>
      <c r="X877">
        <v>63.93</v>
      </c>
      <c r="Y877" s="7">
        <v>88094</v>
      </c>
    </row>
    <row r="878" spans="1:25" ht="12.75" customHeight="1">
      <c r="A878">
        <v>20464</v>
      </c>
      <c r="B878" t="s">
        <v>56</v>
      </c>
      <c r="C878" s="4">
        <v>7.0000000000000007E-2</v>
      </c>
      <c r="D878" s="8">
        <v>20.95</v>
      </c>
      <c r="E878" s="4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 s="5">
        <v>0.65</v>
      </c>
      <c r="O878" t="s">
        <v>33</v>
      </c>
      <c r="P878" t="s">
        <v>136</v>
      </c>
      <c r="Q878" t="s">
        <v>322</v>
      </c>
      <c r="R878" t="s">
        <v>1592</v>
      </c>
      <c r="S878" s="7">
        <v>28314</v>
      </c>
      <c r="T878" s="3">
        <v>42044</v>
      </c>
      <c r="U878" s="3">
        <v>42045</v>
      </c>
      <c r="V878" s="4">
        <v>27.233999999999998</v>
      </c>
      <c r="W878">
        <v>19</v>
      </c>
      <c r="X878">
        <v>391.4</v>
      </c>
      <c r="Y878" s="7">
        <v>86966</v>
      </c>
    </row>
    <row r="879" spans="1:25" ht="12.75" customHeight="1">
      <c r="A879">
        <v>22127</v>
      </c>
      <c r="B879" t="s">
        <v>106</v>
      </c>
      <c r="C879" s="4">
        <v>0.1</v>
      </c>
      <c r="D879" s="8">
        <v>11.58</v>
      </c>
      <c r="E879" s="4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 s="5">
        <v>0.35</v>
      </c>
      <c r="O879" t="s">
        <v>33</v>
      </c>
      <c r="P879" t="s">
        <v>53</v>
      </c>
      <c r="Q879" t="s">
        <v>188</v>
      </c>
      <c r="R879" t="s">
        <v>1594</v>
      </c>
      <c r="S879" s="7">
        <v>4901</v>
      </c>
      <c r="T879" s="3">
        <v>42051</v>
      </c>
      <c r="U879" s="3">
        <v>42055</v>
      </c>
      <c r="V879" s="4">
        <v>-8.3979999999999997</v>
      </c>
      <c r="W879">
        <v>1</v>
      </c>
      <c r="X879">
        <v>14.53</v>
      </c>
      <c r="Y879" s="7">
        <v>90934</v>
      </c>
    </row>
    <row r="880" spans="1:25" ht="12.75" customHeight="1">
      <c r="A880">
        <v>25013</v>
      </c>
      <c r="B880" t="s">
        <v>56</v>
      </c>
      <c r="C880" s="4">
        <v>0.03</v>
      </c>
      <c r="D880" s="8">
        <v>19.04</v>
      </c>
      <c r="E880" s="4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 s="5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 s="7">
        <v>44094</v>
      </c>
      <c r="T880" s="3">
        <v>42098</v>
      </c>
      <c r="U880" s="3">
        <v>42098</v>
      </c>
      <c r="V880" s="4">
        <v>83.793599999999998</v>
      </c>
      <c r="W880">
        <v>7</v>
      </c>
      <c r="X880">
        <v>144.03</v>
      </c>
      <c r="Y880" s="7">
        <v>86668</v>
      </c>
    </row>
    <row r="881" spans="1:25" ht="12.75" customHeight="1">
      <c r="A881">
        <v>25011</v>
      </c>
      <c r="B881" t="s">
        <v>56</v>
      </c>
      <c r="C881" s="4">
        <v>0.02</v>
      </c>
      <c r="D881" s="8">
        <v>5.53</v>
      </c>
      <c r="E881" s="4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 s="5">
        <v>0.39</v>
      </c>
      <c r="O881" t="s">
        <v>33</v>
      </c>
      <c r="P881" t="s">
        <v>61</v>
      </c>
      <c r="Q881" t="s">
        <v>304</v>
      </c>
      <c r="R881" t="s">
        <v>305</v>
      </c>
      <c r="S881" s="7">
        <v>74006</v>
      </c>
      <c r="T881" s="3">
        <v>42098</v>
      </c>
      <c r="U881" s="3">
        <v>42100</v>
      </c>
      <c r="V881" s="4">
        <v>-77.823719999999994</v>
      </c>
      <c r="W881">
        <v>8</v>
      </c>
      <c r="X881">
        <v>48.81</v>
      </c>
      <c r="Y881" s="7">
        <v>86668</v>
      </c>
    </row>
    <row r="882" spans="1:25" ht="12.75" customHeight="1">
      <c r="A882">
        <v>21059</v>
      </c>
      <c r="B882" t="s">
        <v>25</v>
      </c>
      <c r="C882" s="4">
        <v>0.01</v>
      </c>
      <c r="D882" s="8">
        <v>500.98</v>
      </c>
      <c r="E882" s="4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 s="5">
        <v>0.6</v>
      </c>
      <c r="O882" t="s">
        <v>33</v>
      </c>
      <c r="P882" t="s">
        <v>53</v>
      </c>
      <c r="Q882" t="s">
        <v>648</v>
      </c>
      <c r="R882" t="s">
        <v>1601</v>
      </c>
      <c r="S882" s="7">
        <v>25705</v>
      </c>
      <c r="T882" s="3">
        <v>42135</v>
      </c>
      <c r="U882" s="3">
        <v>42136</v>
      </c>
      <c r="V882" s="4">
        <v>5078.5379999999996</v>
      </c>
      <c r="W882">
        <v>14</v>
      </c>
      <c r="X882">
        <v>7360.2</v>
      </c>
      <c r="Y882" s="7">
        <v>90796</v>
      </c>
    </row>
    <row r="883" spans="1:25" ht="12.75" customHeight="1">
      <c r="A883">
        <v>21060</v>
      </c>
      <c r="B883" t="s">
        <v>25</v>
      </c>
      <c r="C883" s="4">
        <v>0.08</v>
      </c>
      <c r="D883" s="8">
        <v>9.77</v>
      </c>
      <c r="E883" s="4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 s="5">
        <v>0.48</v>
      </c>
      <c r="O883" t="s">
        <v>33</v>
      </c>
      <c r="P883" t="s">
        <v>53</v>
      </c>
      <c r="Q883" t="s">
        <v>648</v>
      </c>
      <c r="R883" t="s">
        <v>1601</v>
      </c>
      <c r="S883" s="7">
        <v>25705</v>
      </c>
      <c r="T883" s="3">
        <v>42135</v>
      </c>
      <c r="U883" s="3">
        <v>42136</v>
      </c>
      <c r="V883" s="4">
        <v>23.276000000000003</v>
      </c>
      <c r="W883">
        <v>9</v>
      </c>
      <c r="X883">
        <v>89.06</v>
      </c>
      <c r="Y883" s="7">
        <v>90796</v>
      </c>
    </row>
    <row r="884" spans="1:25" ht="12.75" customHeight="1">
      <c r="A884">
        <v>21061</v>
      </c>
      <c r="B884" t="s">
        <v>25</v>
      </c>
      <c r="C884" s="4">
        <v>0.09</v>
      </c>
      <c r="D884" s="8">
        <v>3.28</v>
      </c>
      <c r="E884" s="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 s="5">
        <v>0.59</v>
      </c>
      <c r="O884" t="s">
        <v>33</v>
      </c>
      <c r="P884" t="s">
        <v>53</v>
      </c>
      <c r="Q884" t="s">
        <v>648</v>
      </c>
      <c r="R884" t="s">
        <v>1601</v>
      </c>
      <c r="S884" s="7">
        <v>25705</v>
      </c>
      <c r="T884" s="3">
        <v>42135</v>
      </c>
      <c r="U884" s="3">
        <v>42137</v>
      </c>
      <c r="V884" s="4">
        <v>17.754000000000001</v>
      </c>
      <c r="W884">
        <v>42</v>
      </c>
      <c r="X884">
        <v>134.97</v>
      </c>
      <c r="Y884" s="7">
        <v>90796</v>
      </c>
    </row>
    <row r="885" spans="1:25" ht="12.75" customHeight="1">
      <c r="A885">
        <v>21928</v>
      </c>
      <c r="B885" t="s">
        <v>47</v>
      </c>
      <c r="C885" s="4">
        <v>0.1</v>
      </c>
      <c r="D885" s="8">
        <v>9.11</v>
      </c>
      <c r="E885" s="4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 s="5">
        <v>0.4</v>
      </c>
      <c r="O885" t="s">
        <v>33</v>
      </c>
      <c r="P885" t="s">
        <v>53</v>
      </c>
      <c r="Q885" t="s">
        <v>415</v>
      </c>
      <c r="R885" t="s">
        <v>1605</v>
      </c>
      <c r="S885" s="7">
        <v>20601</v>
      </c>
      <c r="T885" s="3">
        <v>42104</v>
      </c>
      <c r="U885" s="3">
        <v>42106</v>
      </c>
      <c r="V885" s="4">
        <v>-3.9312</v>
      </c>
      <c r="W885">
        <v>2</v>
      </c>
      <c r="X885">
        <v>17.420000000000002</v>
      </c>
      <c r="Y885" s="7">
        <v>89680</v>
      </c>
    </row>
    <row r="886" spans="1:25" ht="12.75" customHeight="1">
      <c r="A886">
        <v>23533</v>
      </c>
      <c r="B886" t="s">
        <v>47</v>
      </c>
      <c r="C886" s="4">
        <v>0.09</v>
      </c>
      <c r="D886" s="8">
        <v>2.1800000000000002</v>
      </c>
      <c r="E886" s="4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 s="5">
        <v>0.52</v>
      </c>
      <c r="O886" t="s">
        <v>33</v>
      </c>
      <c r="P886" t="s">
        <v>53</v>
      </c>
      <c r="Q886" t="s">
        <v>71</v>
      </c>
      <c r="R886" t="s">
        <v>1608</v>
      </c>
      <c r="S886" s="7">
        <v>11598</v>
      </c>
      <c r="T886" s="3">
        <v>42020</v>
      </c>
      <c r="U886" s="3">
        <v>42022</v>
      </c>
      <c r="V886" s="4">
        <v>2.4548000000000001</v>
      </c>
      <c r="W886">
        <v>9</v>
      </c>
      <c r="X886">
        <v>19.12</v>
      </c>
      <c r="Y886" s="7">
        <v>89679</v>
      </c>
    </row>
    <row r="887" spans="1:25" ht="12.75" customHeight="1">
      <c r="A887">
        <v>23534</v>
      </c>
      <c r="B887" t="s">
        <v>47</v>
      </c>
      <c r="C887" s="4">
        <v>0.05</v>
      </c>
      <c r="D887" s="8">
        <v>179.29</v>
      </c>
      <c r="E887" s="4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 s="5">
        <v>0.76</v>
      </c>
      <c r="O887" t="s">
        <v>33</v>
      </c>
      <c r="P887" t="s">
        <v>53</v>
      </c>
      <c r="Q887" t="s">
        <v>71</v>
      </c>
      <c r="R887" t="s">
        <v>1608</v>
      </c>
      <c r="S887" s="7">
        <v>11598</v>
      </c>
      <c r="T887" s="3">
        <v>42020</v>
      </c>
      <c r="U887" s="3">
        <v>42022</v>
      </c>
      <c r="V887" s="4">
        <v>-537.27977732000011</v>
      </c>
      <c r="W887">
        <v>1</v>
      </c>
      <c r="X887">
        <v>186.64</v>
      </c>
      <c r="Y887" s="7">
        <v>89679</v>
      </c>
    </row>
    <row r="888" spans="1:25" ht="12.75" customHeight="1">
      <c r="A888">
        <v>18450</v>
      </c>
      <c r="B888" t="s">
        <v>56</v>
      </c>
      <c r="C888" s="4">
        <v>0.05</v>
      </c>
      <c r="D888" s="8">
        <v>1.98</v>
      </c>
      <c r="E888" s="4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 s="5">
        <v>0.4</v>
      </c>
      <c r="O888" t="s">
        <v>33</v>
      </c>
      <c r="P888" t="s">
        <v>53</v>
      </c>
      <c r="Q888" t="s">
        <v>71</v>
      </c>
      <c r="R888" t="s">
        <v>1611</v>
      </c>
      <c r="S888" s="7">
        <v>11010</v>
      </c>
      <c r="T888" s="3">
        <v>42011</v>
      </c>
      <c r="U888" s="3">
        <v>42012</v>
      </c>
      <c r="V888" s="4">
        <v>-14.359820000000001</v>
      </c>
      <c r="W888">
        <v>1</v>
      </c>
      <c r="X888">
        <v>3.53</v>
      </c>
      <c r="Y888" s="7">
        <v>87993</v>
      </c>
    </row>
    <row r="889" spans="1:25" ht="12.75" customHeight="1">
      <c r="A889">
        <v>18451</v>
      </c>
      <c r="B889" t="s">
        <v>56</v>
      </c>
      <c r="C889" s="4">
        <v>7.0000000000000007E-2</v>
      </c>
      <c r="D889" s="8">
        <v>699.99</v>
      </c>
      <c r="E889" s="4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 s="5">
        <v>0.41</v>
      </c>
      <c r="O889" t="s">
        <v>33</v>
      </c>
      <c r="P889" t="s">
        <v>53</v>
      </c>
      <c r="Q889" t="s">
        <v>71</v>
      </c>
      <c r="R889" t="s">
        <v>1611</v>
      </c>
      <c r="S889" s="7">
        <v>11010</v>
      </c>
      <c r="T889" s="3">
        <v>42011</v>
      </c>
      <c r="U889" s="3">
        <v>42012</v>
      </c>
      <c r="V889" s="4">
        <v>-2870.2775999999994</v>
      </c>
      <c r="W889">
        <v>1</v>
      </c>
      <c r="X889">
        <v>706.56</v>
      </c>
      <c r="Y889" s="7">
        <v>87993</v>
      </c>
    </row>
    <row r="890" spans="1:25" ht="12.75" customHeight="1">
      <c r="A890">
        <v>18452</v>
      </c>
      <c r="B890" t="s">
        <v>56</v>
      </c>
      <c r="C890" s="4">
        <v>7.0000000000000007E-2</v>
      </c>
      <c r="D890" s="8">
        <v>6783.02</v>
      </c>
      <c r="E890" s="4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 s="5">
        <v>0.39</v>
      </c>
      <c r="O890" t="s">
        <v>33</v>
      </c>
      <c r="P890" t="s">
        <v>53</v>
      </c>
      <c r="Q890" t="s">
        <v>71</v>
      </c>
      <c r="R890" t="s">
        <v>1611</v>
      </c>
      <c r="S890" s="7">
        <v>11010</v>
      </c>
      <c r="T890" s="3">
        <v>42011</v>
      </c>
      <c r="U890" s="3">
        <v>42012</v>
      </c>
      <c r="V890" s="4">
        <v>77.983599999997679</v>
      </c>
      <c r="W890">
        <v>2</v>
      </c>
      <c r="X890">
        <v>13121.07</v>
      </c>
      <c r="Y890" s="7">
        <v>87993</v>
      </c>
    </row>
    <row r="891" spans="1:25" ht="12.75" customHeight="1">
      <c r="A891">
        <v>22921</v>
      </c>
      <c r="B891" t="s">
        <v>37</v>
      </c>
      <c r="C891" s="4">
        <v>0.01</v>
      </c>
      <c r="D891" s="8">
        <v>15.16</v>
      </c>
      <c r="E891" s="4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 s="5">
        <v>0.39</v>
      </c>
      <c r="O891" t="s">
        <v>33</v>
      </c>
      <c r="P891" t="s">
        <v>53</v>
      </c>
      <c r="Q891" t="s">
        <v>71</v>
      </c>
      <c r="R891" t="s">
        <v>1614</v>
      </c>
      <c r="S891" s="7">
        <v>11520</v>
      </c>
      <c r="T891" s="3">
        <v>42109</v>
      </c>
      <c r="U891" s="3">
        <v>42109</v>
      </c>
      <c r="V891" s="4">
        <v>-200.85899999999998</v>
      </c>
      <c r="W891">
        <v>7</v>
      </c>
      <c r="X891">
        <v>110.93</v>
      </c>
      <c r="Y891" s="7">
        <v>87994</v>
      </c>
    </row>
    <row r="892" spans="1:25" ht="12.75" customHeight="1">
      <c r="A892">
        <v>24951</v>
      </c>
      <c r="B892" t="s">
        <v>106</v>
      </c>
      <c r="C892" s="4">
        <v>0.1</v>
      </c>
      <c r="D892" s="8">
        <v>5.68</v>
      </c>
      <c r="E892" s="4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 s="5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 s="7">
        <v>11520</v>
      </c>
      <c r="T892" s="3">
        <v>42041</v>
      </c>
      <c r="U892" s="3">
        <v>42045</v>
      </c>
      <c r="V892" s="4">
        <v>-33.2956</v>
      </c>
      <c r="W892">
        <v>21</v>
      </c>
      <c r="X892">
        <v>118.35</v>
      </c>
      <c r="Y892" s="7">
        <v>87995</v>
      </c>
    </row>
    <row r="893" spans="1:25" ht="12.75" customHeight="1">
      <c r="A893">
        <v>22682</v>
      </c>
      <c r="B893" t="s">
        <v>25</v>
      </c>
      <c r="C893" s="4">
        <v>0.03</v>
      </c>
      <c r="D893" s="8">
        <v>2.16</v>
      </c>
      <c r="E893" s="4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 s="5">
        <v>0.37</v>
      </c>
      <c r="O893" t="s">
        <v>33</v>
      </c>
      <c r="P893" t="s">
        <v>34</v>
      </c>
      <c r="Q893" t="s">
        <v>45</v>
      </c>
      <c r="R893" t="s">
        <v>1617</v>
      </c>
      <c r="S893" s="7">
        <v>95823</v>
      </c>
      <c r="T893" s="3">
        <v>42135</v>
      </c>
      <c r="U893" s="3">
        <v>42136</v>
      </c>
      <c r="V893" s="4">
        <v>-90.585499999999996</v>
      </c>
      <c r="W893">
        <v>7</v>
      </c>
      <c r="X893">
        <v>17.309999999999999</v>
      </c>
      <c r="Y893" s="7">
        <v>87824</v>
      </c>
    </row>
    <row r="894" spans="1:25" ht="12.75" customHeight="1">
      <c r="A894">
        <v>22683</v>
      </c>
      <c r="B894" t="s">
        <v>25</v>
      </c>
      <c r="C894" s="4">
        <v>0.03</v>
      </c>
      <c r="D894" s="8">
        <v>9.7100000000000009</v>
      </c>
      <c r="E894" s="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 s="5">
        <v>0.6</v>
      </c>
      <c r="O894" t="s">
        <v>33</v>
      </c>
      <c r="P894" t="s">
        <v>34</v>
      </c>
      <c r="Q894" t="s">
        <v>45</v>
      </c>
      <c r="R894" t="s">
        <v>1617</v>
      </c>
      <c r="S894" s="7">
        <v>95823</v>
      </c>
      <c r="T894" s="3">
        <v>42135</v>
      </c>
      <c r="U894" s="3">
        <v>42135</v>
      </c>
      <c r="V894" s="4">
        <v>-36.9</v>
      </c>
      <c r="W894">
        <v>2</v>
      </c>
      <c r="X894">
        <v>23.56</v>
      </c>
      <c r="Y894" s="7">
        <v>87824</v>
      </c>
    </row>
    <row r="895" spans="1:25" ht="12.75" customHeight="1">
      <c r="A895">
        <v>18394</v>
      </c>
      <c r="B895" t="s">
        <v>106</v>
      </c>
      <c r="C895" s="4">
        <v>0.06</v>
      </c>
      <c r="D895" s="8">
        <v>40.97</v>
      </c>
      <c r="E895" s="4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 s="5">
        <v>0.42</v>
      </c>
      <c r="O895" t="s">
        <v>33</v>
      </c>
      <c r="P895" t="s">
        <v>53</v>
      </c>
      <c r="Q895" t="s">
        <v>193</v>
      </c>
      <c r="R895" t="s">
        <v>1620</v>
      </c>
      <c r="S895" s="7">
        <v>1748</v>
      </c>
      <c r="T895" s="3">
        <v>42102</v>
      </c>
      <c r="U895" s="3">
        <v>42106</v>
      </c>
      <c r="V895" s="4">
        <v>341.19809999999995</v>
      </c>
      <c r="W895">
        <v>12</v>
      </c>
      <c r="X895">
        <v>494.49</v>
      </c>
      <c r="Y895" s="7">
        <v>87823</v>
      </c>
    </row>
    <row r="896" spans="1:25" ht="12.75" customHeight="1">
      <c r="A896">
        <v>19501</v>
      </c>
      <c r="B896" t="s">
        <v>25</v>
      </c>
      <c r="C896" s="4">
        <v>0.09</v>
      </c>
      <c r="D896" s="8">
        <v>12.88</v>
      </c>
      <c r="E896" s="4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 s="5">
        <v>0.82</v>
      </c>
      <c r="O896" t="s">
        <v>33</v>
      </c>
      <c r="P896" t="s">
        <v>61</v>
      </c>
      <c r="Q896" t="s">
        <v>703</v>
      </c>
      <c r="R896" t="s">
        <v>1623</v>
      </c>
      <c r="S896" s="7">
        <v>46322</v>
      </c>
      <c r="T896" s="3">
        <v>42100</v>
      </c>
      <c r="U896" s="3">
        <v>42100</v>
      </c>
      <c r="V896" s="4">
        <v>-175.13</v>
      </c>
      <c r="W896">
        <v>13</v>
      </c>
      <c r="X896">
        <v>158.13</v>
      </c>
      <c r="Y896" s="7">
        <v>90248</v>
      </c>
    </row>
    <row r="897" spans="1:25" ht="12.75" customHeight="1">
      <c r="A897">
        <v>19502</v>
      </c>
      <c r="B897" t="s">
        <v>25</v>
      </c>
      <c r="C897" s="4">
        <v>0.02</v>
      </c>
      <c r="D897" s="8">
        <v>45.99</v>
      </c>
      <c r="E897" s="4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 s="5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 s="7">
        <v>17602</v>
      </c>
      <c r="T897" s="3">
        <v>42100</v>
      </c>
      <c r="U897" s="3">
        <v>42101</v>
      </c>
      <c r="V897" s="4">
        <v>3.96</v>
      </c>
      <c r="W897">
        <v>4</v>
      </c>
      <c r="X897">
        <v>163.01</v>
      </c>
      <c r="Y897" s="7">
        <v>90248</v>
      </c>
    </row>
    <row r="898" spans="1:25" ht="12.75" customHeight="1">
      <c r="A898">
        <v>23750</v>
      </c>
      <c r="B898" t="s">
        <v>25</v>
      </c>
      <c r="C898" s="4">
        <v>0.06</v>
      </c>
      <c r="D898" s="8">
        <v>15.01</v>
      </c>
      <c r="E898" s="4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 s="5">
        <v>0.39</v>
      </c>
      <c r="O898" t="s">
        <v>33</v>
      </c>
      <c r="P898" t="s">
        <v>61</v>
      </c>
      <c r="Q898" t="s">
        <v>703</v>
      </c>
      <c r="R898" t="s">
        <v>1628</v>
      </c>
      <c r="S898" s="7">
        <v>46375</v>
      </c>
      <c r="T898" s="3">
        <v>42148</v>
      </c>
      <c r="U898" s="3">
        <v>42150</v>
      </c>
      <c r="V898" s="4">
        <v>1.6169000000000011</v>
      </c>
      <c r="W898">
        <v>22</v>
      </c>
      <c r="X898">
        <v>333.04</v>
      </c>
      <c r="Y898" s="7">
        <v>87611</v>
      </c>
    </row>
    <row r="899" spans="1:25" ht="12.75" customHeight="1">
      <c r="A899">
        <v>23751</v>
      </c>
      <c r="B899" t="s">
        <v>25</v>
      </c>
      <c r="C899" s="4">
        <v>0.09</v>
      </c>
      <c r="D899" s="8">
        <v>40.479999999999997</v>
      </c>
      <c r="E899" s="4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 s="5">
        <v>0.77</v>
      </c>
      <c r="O899" t="s">
        <v>33</v>
      </c>
      <c r="P899" t="s">
        <v>61</v>
      </c>
      <c r="Q899" t="s">
        <v>703</v>
      </c>
      <c r="R899" t="s">
        <v>1628</v>
      </c>
      <c r="S899" s="7">
        <v>46375</v>
      </c>
      <c r="T899" s="3">
        <v>42148</v>
      </c>
      <c r="U899" s="3">
        <v>42150</v>
      </c>
      <c r="V899" s="4">
        <v>65.394000000000062</v>
      </c>
      <c r="W899">
        <v>12</v>
      </c>
      <c r="X899">
        <v>472.44</v>
      </c>
      <c r="Y899" s="7">
        <v>87611</v>
      </c>
    </row>
    <row r="900" spans="1:25" ht="12.75" customHeight="1">
      <c r="A900">
        <v>23752</v>
      </c>
      <c r="B900" t="s">
        <v>25</v>
      </c>
      <c r="C900" s="4">
        <v>0.05</v>
      </c>
      <c r="D900" s="8">
        <v>12.28</v>
      </c>
      <c r="E900" s="4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 s="5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 s="7">
        <v>46375</v>
      </c>
      <c r="T900" s="3">
        <v>42148</v>
      </c>
      <c r="U900" s="3">
        <v>42149</v>
      </c>
      <c r="V900" s="4">
        <v>1.3360000000000003</v>
      </c>
      <c r="W900">
        <v>1</v>
      </c>
      <c r="X900">
        <v>18.73</v>
      </c>
      <c r="Y900" s="7">
        <v>87611</v>
      </c>
    </row>
    <row r="901" spans="1:25" ht="12.75" customHeight="1">
      <c r="A901">
        <v>21145</v>
      </c>
      <c r="B901" t="s">
        <v>56</v>
      </c>
      <c r="C901" s="4">
        <v>0.08</v>
      </c>
      <c r="D901" s="8">
        <v>213.45</v>
      </c>
      <c r="E901" s="4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 s="5">
        <v>0.59</v>
      </c>
      <c r="O901" t="s">
        <v>33</v>
      </c>
      <c r="P901" t="s">
        <v>53</v>
      </c>
      <c r="Q901" t="s">
        <v>71</v>
      </c>
      <c r="R901" t="s">
        <v>1630</v>
      </c>
      <c r="S901" s="7">
        <v>11542</v>
      </c>
      <c r="T901" s="3">
        <v>42090</v>
      </c>
      <c r="U901" s="3">
        <v>42092</v>
      </c>
      <c r="V901" s="4">
        <v>1674.7541999999999</v>
      </c>
      <c r="W901">
        <v>12</v>
      </c>
      <c r="X901">
        <v>2427.1799999999998</v>
      </c>
      <c r="Y901" s="7">
        <v>90600</v>
      </c>
    </row>
    <row r="902" spans="1:25" ht="12.75" customHeight="1">
      <c r="A902">
        <v>21146</v>
      </c>
      <c r="B902" t="s">
        <v>56</v>
      </c>
      <c r="C902" s="4">
        <v>0.1</v>
      </c>
      <c r="D902" s="8">
        <v>55.98</v>
      </c>
      <c r="E902" s="4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 s="5">
        <v>0.36</v>
      </c>
      <c r="O902" t="s">
        <v>33</v>
      </c>
      <c r="P902" t="s">
        <v>53</v>
      </c>
      <c r="Q902" t="s">
        <v>71</v>
      </c>
      <c r="R902" t="s">
        <v>1630</v>
      </c>
      <c r="S902" s="7">
        <v>11542</v>
      </c>
      <c r="T902" s="3">
        <v>42090</v>
      </c>
      <c r="U902" s="3">
        <v>42092</v>
      </c>
      <c r="V902" s="4">
        <v>300.04649999999998</v>
      </c>
      <c r="W902">
        <v>8</v>
      </c>
      <c r="X902">
        <v>434.85</v>
      </c>
      <c r="Y902" s="7">
        <v>90600</v>
      </c>
    </row>
    <row r="903" spans="1:25" ht="12.75" customHeight="1">
      <c r="A903">
        <v>21147</v>
      </c>
      <c r="B903" t="s">
        <v>56</v>
      </c>
      <c r="C903" s="4">
        <v>0</v>
      </c>
      <c r="D903" s="8">
        <v>16.059999999999999</v>
      </c>
      <c r="E903" s="4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 s="5">
        <v>0.59</v>
      </c>
      <c r="O903" t="s">
        <v>33</v>
      </c>
      <c r="P903" t="s">
        <v>53</v>
      </c>
      <c r="Q903" t="s">
        <v>71</v>
      </c>
      <c r="R903" t="s">
        <v>1630</v>
      </c>
      <c r="S903" s="7">
        <v>11542</v>
      </c>
      <c r="T903" s="3">
        <v>42090</v>
      </c>
      <c r="U903" s="3">
        <v>42091</v>
      </c>
      <c r="V903" s="4">
        <v>-28.09</v>
      </c>
      <c r="W903">
        <v>1</v>
      </c>
      <c r="X903">
        <v>19.16</v>
      </c>
      <c r="Y903" s="7">
        <v>90600</v>
      </c>
    </row>
    <row r="904" spans="1:25" ht="12.75" customHeight="1">
      <c r="A904">
        <v>21270</v>
      </c>
      <c r="B904" t="s">
        <v>56</v>
      </c>
      <c r="C904" s="4">
        <v>0</v>
      </c>
      <c r="D904" s="8">
        <v>209.37</v>
      </c>
      <c r="E904" s="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 s="5">
        <v>0.79</v>
      </c>
      <c r="O904" t="s">
        <v>33</v>
      </c>
      <c r="P904" t="s">
        <v>53</v>
      </c>
      <c r="Q904" t="s">
        <v>71</v>
      </c>
      <c r="R904" t="s">
        <v>1630</v>
      </c>
      <c r="S904" s="7">
        <v>11542</v>
      </c>
      <c r="T904" s="3">
        <v>42051</v>
      </c>
      <c r="U904" s="3">
        <v>42053</v>
      </c>
      <c r="V904" s="4">
        <v>-263.1119290800001</v>
      </c>
      <c r="W904">
        <v>11</v>
      </c>
      <c r="X904">
        <v>1959.88</v>
      </c>
      <c r="Y904" s="7">
        <v>90601</v>
      </c>
    </row>
    <row r="905" spans="1:25" ht="12.75" customHeight="1">
      <c r="A905">
        <v>23604</v>
      </c>
      <c r="B905" t="s">
        <v>25</v>
      </c>
      <c r="C905" s="4">
        <v>0.06</v>
      </c>
      <c r="D905" s="8">
        <v>43.57</v>
      </c>
      <c r="E905" s="4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 s="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 s="7">
        <v>37743</v>
      </c>
      <c r="T905" s="3">
        <v>42152</v>
      </c>
      <c r="U905" s="3">
        <v>42154</v>
      </c>
      <c r="V905" s="4">
        <v>-38.808</v>
      </c>
      <c r="W905">
        <v>17</v>
      </c>
      <c r="X905">
        <v>710.16</v>
      </c>
      <c r="Y905" s="7">
        <v>90602</v>
      </c>
    </row>
    <row r="906" spans="1:25" ht="12.75" customHeight="1">
      <c r="A906">
        <v>19769</v>
      </c>
      <c r="B906" t="s">
        <v>25</v>
      </c>
      <c r="C906" s="4">
        <v>0.08</v>
      </c>
      <c r="D906" s="8">
        <v>8.09</v>
      </c>
      <c r="E906" s="4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 s="5">
        <v>0.49</v>
      </c>
      <c r="O906" t="s">
        <v>33</v>
      </c>
      <c r="P906" t="s">
        <v>136</v>
      </c>
      <c r="Q906" t="s">
        <v>671</v>
      </c>
      <c r="R906" t="s">
        <v>1638</v>
      </c>
      <c r="S906" s="7">
        <v>39401</v>
      </c>
      <c r="T906" s="3">
        <v>42019</v>
      </c>
      <c r="U906" s="3">
        <v>42020</v>
      </c>
      <c r="V906" s="4">
        <v>15.984</v>
      </c>
      <c r="W906">
        <v>6</v>
      </c>
      <c r="X906">
        <v>48.25</v>
      </c>
      <c r="Y906" s="7">
        <v>90530</v>
      </c>
    </row>
    <row r="907" spans="1:25" ht="12.75" customHeight="1">
      <c r="A907">
        <v>20359</v>
      </c>
      <c r="B907" t="s">
        <v>25</v>
      </c>
      <c r="C907" s="4">
        <v>0.02</v>
      </c>
      <c r="D907" s="8">
        <v>25.99</v>
      </c>
      <c r="E907" s="4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 s="5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 s="7">
        <v>39401</v>
      </c>
      <c r="T907" s="3">
        <v>42109</v>
      </c>
      <c r="U907" s="3">
        <v>42111</v>
      </c>
      <c r="V907" s="4">
        <v>-88.158000000000001</v>
      </c>
      <c r="W907">
        <v>9</v>
      </c>
      <c r="X907">
        <v>243.24</v>
      </c>
      <c r="Y907" s="7">
        <v>90533</v>
      </c>
    </row>
    <row r="908" spans="1:25" ht="12.75" customHeight="1">
      <c r="A908">
        <v>24786</v>
      </c>
      <c r="B908" t="s">
        <v>37</v>
      </c>
      <c r="C908" s="4">
        <v>0.03</v>
      </c>
      <c r="D908" s="8">
        <v>5.98</v>
      </c>
      <c r="E908" s="4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 s="5">
        <v>0.68</v>
      </c>
      <c r="O908" t="s">
        <v>33</v>
      </c>
      <c r="P908" t="s">
        <v>136</v>
      </c>
      <c r="Q908" t="s">
        <v>671</v>
      </c>
      <c r="R908" t="s">
        <v>1641</v>
      </c>
      <c r="S908" s="7">
        <v>38637</v>
      </c>
      <c r="T908" s="3">
        <v>42045</v>
      </c>
      <c r="U908" s="3">
        <v>42047</v>
      </c>
      <c r="V908" s="4">
        <v>-76.106800000000007</v>
      </c>
      <c r="W908">
        <v>6</v>
      </c>
      <c r="X908">
        <v>38.54</v>
      </c>
      <c r="Y908" s="7">
        <v>90531</v>
      </c>
    </row>
    <row r="909" spans="1:25" ht="12.75" customHeight="1">
      <c r="A909">
        <v>26340</v>
      </c>
      <c r="B909" t="s">
        <v>37</v>
      </c>
      <c r="C909" s="4">
        <v>0.08</v>
      </c>
      <c r="D909" s="8">
        <v>100.97</v>
      </c>
      <c r="E909" s="4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 s="5">
        <v>0.37</v>
      </c>
      <c r="O909" t="s">
        <v>33</v>
      </c>
      <c r="P909" t="s">
        <v>136</v>
      </c>
      <c r="Q909" t="s">
        <v>671</v>
      </c>
      <c r="R909" t="s">
        <v>1644</v>
      </c>
      <c r="S909" s="7">
        <v>39212</v>
      </c>
      <c r="T909" s="3">
        <v>42103</v>
      </c>
      <c r="U909" s="3">
        <v>42104</v>
      </c>
      <c r="V909" s="4">
        <v>-73.494119999999938</v>
      </c>
      <c r="W909">
        <v>15</v>
      </c>
      <c r="X909">
        <v>1483.16</v>
      </c>
      <c r="Y909" s="7">
        <v>90532</v>
      </c>
    </row>
    <row r="910" spans="1:25" ht="12.75" customHeight="1">
      <c r="A910">
        <v>19144</v>
      </c>
      <c r="B910" t="s">
        <v>47</v>
      </c>
      <c r="C910" s="4">
        <v>0.08</v>
      </c>
      <c r="D910" s="8">
        <v>115.99</v>
      </c>
      <c r="E910" s="4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 s="5">
        <v>0.4</v>
      </c>
      <c r="O910" t="s">
        <v>33</v>
      </c>
      <c r="P910" t="s">
        <v>34</v>
      </c>
      <c r="Q910" t="s">
        <v>45</v>
      </c>
      <c r="R910" t="s">
        <v>1646</v>
      </c>
      <c r="S910" s="7">
        <v>93905</v>
      </c>
      <c r="T910" s="3">
        <v>42018</v>
      </c>
      <c r="U910" s="3">
        <v>42020</v>
      </c>
      <c r="V910" s="4">
        <v>-272.860884</v>
      </c>
      <c r="W910">
        <v>5</v>
      </c>
      <c r="X910">
        <v>562.92999999999995</v>
      </c>
      <c r="Y910" s="7">
        <v>89704</v>
      </c>
    </row>
    <row r="911" spans="1:25" ht="12.75" customHeight="1">
      <c r="A911">
        <v>19145</v>
      </c>
      <c r="B911" t="s">
        <v>47</v>
      </c>
      <c r="C911" s="4">
        <v>0.08</v>
      </c>
      <c r="D911" s="8">
        <v>4.28</v>
      </c>
      <c r="E911" s="4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 s="5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 s="7">
        <v>93905</v>
      </c>
      <c r="T911" s="3">
        <v>42018</v>
      </c>
      <c r="U911" s="3">
        <v>42021</v>
      </c>
      <c r="V911" s="4">
        <v>10.5792</v>
      </c>
      <c r="W911">
        <v>7</v>
      </c>
      <c r="X911">
        <v>29.18</v>
      </c>
      <c r="Y911" s="7">
        <v>89704</v>
      </c>
    </row>
    <row r="912" spans="1:25" ht="12.75" customHeight="1">
      <c r="A912">
        <v>20869</v>
      </c>
      <c r="B912" t="s">
        <v>25</v>
      </c>
      <c r="C912" s="4">
        <v>0.04</v>
      </c>
      <c r="D912" s="8">
        <v>136.97999999999999</v>
      </c>
      <c r="E912" s="4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 s="5">
        <v>0.59</v>
      </c>
      <c r="O912" t="s">
        <v>33</v>
      </c>
      <c r="P912" t="s">
        <v>34</v>
      </c>
      <c r="Q912" t="s">
        <v>45</v>
      </c>
      <c r="R912" t="s">
        <v>1646</v>
      </c>
      <c r="S912" s="7">
        <v>93905</v>
      </c>
      <c r="T912" s="3">
        <v>42016</v>
      </c>
      <c r="U912" s="3">
        <v>42018</v>
      </c>
      <c r="V912" s="4">
        <v>1127.5497</v>
      </c>
      <c r="W912">
        <v>12</v>
      </c>
      <c r="X912">
        <v>1634.13</v>
      </c>
      <c r="Y912" s="7">
        <v>89706</v>
      </c>
    </row>
    <row r="913" spans="1:25" ht="12.75" customHeight="1">
      <c r="A913">
        <v>26109</v>
      </c>
      <c r="B913" t="s">
        <v>47</v>
      </c>
      <c r="C913" s="4">
        <v>0.08</v>
      </c>
      <c r="D913" s="8">
        <v>55.48</v>
      </c>
      <c r="E913" s="4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 s="5">
        <v>0.37</v>
      </c>
      <c r="O913" t="s">
        <v>33</v>
      </c>
      <c r="P913" t="s">
        <v>53</v>
      </c>
      <c r="Q913" t="s">
        <v>228</v>
      </c>
      <c r="R913" t="s">
        <v>1651</v>
      </c>
      <c r="S913" s="7">
        <v>6901</v>
      </c>
      <c r="T913" s="3">
        <v>42061</v>
      </c>
      <c r="U913" s="3">
        <v>42063</v>
      </c>
      <c r="V913" s="4">
        <v>147.75659999999999</v>
      </c>
      <c r="W913">
        <v>4</v>
      </c>
      <c r="X913">
        <v>214.14</v>
      </c>
      <c r="Y913" s="7">
        <v>89705</v>
      </c>
    </row>
    <row r="914" spans="1:25" ht="12.75" customHeight="1">
      <c r="A914">
        <v>18274</v>
      </c>
      <c r="B914" t="s">
        <v>106</v>
      </c>
      <c r="C914" s="4">
        <v>0.09</v>
      </c>
      <c r="D914" s="8">
        <v>107.53</v>
      </c>
      <c r="E914" s="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 s="5">
        <v>0.65</v>
      </c>
      <c r="O914" t="s">
        <v>33</v>
      </c>
      <c r="P914" t="s">
        <v>61</v>
      </c>
      <c r="Q914" t="s">
        <v>130</v>
      </c>
      <c r="R914" t="s">
        <v>1654</v>
      </c>
      <c r="S914" s="7">
        <v>77546</v>
      </c>
      <c r="T914" s="3">
        <v>42169</v>
      </c>
      <c r="U914" s="3">
        <v>42171</v>
      </c>
      <c r="V914" s="4">
        <v>69.545100000000005</v>
      </c>
      <c r="W914">
        <v>1</v>
      </c>
      <c r="X914">
        <v>100.79</v>
      </c>
      <c r="Y914" s="7">
        <v>87342</v>
      </c>
    </row>
    <row r="915" spans="1:25" ht="12.75" customHeight="1">
      <c r="A915">
        <v>24265</v>
      </c>
      <c r="B915" t="s">
        <v>37</v>
      </c>
      <c r="C915" s="4">
        <v>0.06</v>
      </c>
      <c r="D915" s="8">
        <v>3.29</v>
      </c>
      <c r="E915" s="4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 s="5">
        <v>0.4</v>
      </c>
      <c r="O915" t="s">
        <v>33</v>
      </c>
      <c r="P915" t="s">
        <v>53</v>
      </c>
      <c r="Q915" t="s">
        <v>71</v>
      </c>
      <c r="R915" t="s">
        <v>1656</v>
      </c>
      <c r="S915" s="7">
        <v>11714</v>
      </c>
      <c r="T915" s="3">
        <v>42078</v>
      </c>
      <c r="U915" s="3">
        <v>42080</v>
      </c>
      <c r="V915" s="4">
        <v>8.5299999999999994</v>
      </c>
      <c r="W915">
        <v>11</v>
      </c>
      <c r="X915">
        <v>35.97</v>
      </c>
      <c r="Y915" s="7">
        <v>90932</v>
      </c>
    </row>
    <row r="916" spans="1:25" ht="12.75" customHeight="1">
      <c r="A916">
        <v>21947</v>
      </c>
      <c r="B916" t="s">
        <v>47</v>
      </c>
      <c r="C916" s="4">
        <v>0.08</v>
      </c>
      <c r="D916" s="8">
        <v>46.89</v>
      </c>
      <c r="E916" s="4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 s="5">
        <v>0.46</v>
      </c>
      <c r="O916" t="s">
        <v>33</v>
      </c>
      <c r="P916" t="s">
        <v>61</v>
      </c>
      <c r="Q916" t="s">
        <v>178</v>
      </c>
      <c r="R916" t="s">
        <v>1658</v>
      </c>
      <c r="S916" s="7">
        <v>60098</v>
      </c>
      <c r="T916" s="3">
        <v>42088</v>
      </c>
      <c r="U916" s="3">
        <v>42090</v>
      </c>
      <c r="V916" s="4">
        <v>507.63299999999998</v>
      </c>
      <c r="W916">
        <v>17</v>
      </c>
      <c r="X916">
        <v>735.7</v>
      </c>
      <c r="Y916" s="7">
        <v>91043</v>
      </c>
    </row>
    <row r="917" spans="1:25" ht="12.75" customHeight="1">
      <c r="A917">
        <v>21948</v>
      </c>
      <c r="B917" t="s">
        <v>47</v>
      </c>
      <c r="C917" s="4">
        <v>0.05</v>
      </c>
      <c r="D917" s="8">
        <v>12.98</v>
      </c>
      <c r="E917" s="4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 s="5">
        <v>0.6</v>
      </c>
      <c r="O917" t="s">
        <v>33</v>
      </c>
      <c r="P917" t="s">
        <v>61</v>
      </c>
      <c r="Q917" t="s">
        <v>178</v>
      </c>
      <c r="R917" t="s">
        <v>1658</v>
      </c>
      <c r="S917" s="7">
        <v>60098</v>
      </c>
      <c r="T917" s="3">
        <v>42088</v>
      </c>
      <c r="U917" s="3">
        <v>42088</v>
      </c>
      <c r="V917" s="4">
        <v>38.229999999999997</v>
      </c>
      <c r="W917">
        <v>18</v>
      </c>
      <c r="X917">
        <v>225.59</v>
      </c>
      <c r="Y917" s="7">
        <v>91043</v>
      </c>
    </row>
    <row r="918" spans="1:25" ht="12.75" customHeight="1">
      <c r="A918">
        <v>20603</v>
      </c>
      <c r="B918" t="s">
        <v>47</v>
      </c>
      <c r="C918" s="4">
        <v>0.03</v>
      </c>
      <c r="D918" s="8">
        <v>48.58</v>
      </c>
      <c r="E918" s="4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 s="5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 s="7">
        <v>11598</v>
      </c>
      <c r="T918" s="3">
        <v>42059</v>
      </c>
      <c r="U918" s="3">
        <v>42061</v>
      </c>
      <c r="V918" s="4">
        <v>100.13279999999999</v>
      </c>
      <c r="W918">
        <v>3</v>
      </c>
      <c r="X918">
        <v>145.12</v>
      </c>
      <c r="Y918" s="7">
        <v>91041</v>
      </c>
    </row>
    <row r="919" spans="1:25" ht="12.75" customHeight="1">
      <c r="A919">
        <v>24016</v>
      </c>
      <c r="B919" t="s">
        <v>25</v>
      </c>
      <c r="C919" s="4">
        <v>0.05</v>
      </c>
      <c r="D919" s="8">
        <v>6.48</v>
      </c>
      <c r="E919" s="4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 s="5">
        <v>0.71</v>
      </c>
      <c r="O919" t="s">
        <v>33</v>
      </c>
      <c r="P919" t="s">
        <v>136</v>
      </c>
      <c r="Q919" t="s">
        <v>322</v>
      </c>
      <c r="R919" t="s">
        <v>1663</v>
      </c>
      <c r="S919" s="7">
        <v>27203</v>
      </c>
      <c r="T919" s="3">
        <v>42133</v>
      </c>
      <c r="U919" s="3">
        <v>42133</v>
      </c>
      <c r="V919" s="4">
        <v>15.096</v>
      </c>
      <c r="W919">
        <v>15</v>
      </c>
      <c r="X919">
        <v>94.27</v>
      </c>
      <c r="Y919" s="7">
        <v>91042</v>
      </c>
    </row>
    <row r="920" spans="1:25" ht="12.75" customHeight="1">
      <c r="A920">
        <v>24017</v>
      </c>
      <c r="B920" t="s">
        <v>25</v>
      </c>
      <c r="C920" s="4">
        <v>0.09</v>
      </c>
      <c r="D920" s="8">
        <v>12.53</v>
      </c>
      <c r="E920" s="4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 s="5">
        <v>0.38</v>
      </c>
      <c r="O920" t="s">
        <v>33</v>
      </c>
      <c r="P920" t="s">
        <v>136</v>
      </c>
      <c r="Q920" t="s">
        <v>322</v>
      </c>
      <c r="R920" t="s">
        <v>1663</v>
      </c>
      <c r="S920" s="7">
        <v>27203</v>
      </c>
      <c r="T920" s="3">
        <v>42133</v>
      </c>
      <c r="U920" s="3">
        <v>42134</v>
      </c>
      <c r="V920" s="4">
        <v>14.912399999999998</v>
      </c>
      <c r="W920">
        <v>7</v>
      </c>
      <c r="X920">
        <v>82.21</v>
      </c>
      <c r="Y920" s="7">
        <v>91042</v>
      </c>
    </row>
    <row r="921" spans="1:25" ht="12.75" customHeight="1">
      <c r="A921">
        <v>24019</v>
      </c>
      <c r="B921" t="s">
        <v>25</v>
      </c>
      <c r="C921" s="4">
        <v>0.08</v>
      </c>
      <c r="D921" s="8">
        <v>65.989999999999995</v>
      </c>
      <c r="E921" s="4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 s="5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 s="7">
        <v>27203</v>
      </c>
      <c r="T921" s="3">
        <v>42133</v>
      </c>
      <c r="U921" s="3">
        <v>42135</v>
      </c>
      <c r="V921" s="4">
        <v>-135.226</v>
      </c>
      <c r="W921">
        <v>8</v>
      </c>
      <c r="X921">
        <v>417.47</v>
      </c>
      <c r="Y921" s="7">
        <v>91042</v>
      </c>
    </row>
    <row r="922" spans="1:25" ht="12.75" customHeight="1">
      <c r="A922">
        <v>19251</v>
      </c>
      <c r="B922" t="s">
        <v>37</v>
      </c>
      <c r="C922" s="4">
        <v>0</v>
      </c>
      <c r="D922" s="8">
        <v>101.41</v>
      </c>
      <c r="E922" s="4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 s="5">
        <v>0.82</v>
      </c>
      <c r="O922" t="s">
        <v>33</v>
      </c>
      <c r="P922" t="s">
        <v>34</v>
      </c>
      <c r="Q922" t="s">
        <v>45</v>
      </c>
      <c r="R922" t="s">
        <v>1667</v>
      </c>
      <c r="S922" s="7">
        <v>91360</v>
      </c>
      <c r="T922" s="3">
        <v>42028</v>
      </c>
      <c r="U922" s="3">
        <v>42029</v>
      </c>
      <c r="V922" s="4">
        <v>-457.73</v>
      </c>
      <c r="W922">
        <v>10</v>
      </c>
      <c r="X922">
        <v>1104.32</v>
      </c>
      <c r="Y922" s="7">
        <v>89885</v>
      </c>
    </row>
    <row r="923" spans="1:25" ht="12.75" customHeight="1">
      <c r="A923">
        <v>19252</v>
      </c>
      <c r="B923" t="s">
        <v>37</v>
      </c>
      <c r="C923" s="4">
        <v>0.1</v>
      </c>
      <c r="D923" s="8">
        <v>95.99</v>
      </c>
      <c r="E923" s="4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 s="5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 s="7">
        <v>91360</v>
      </c>
      <c r="T923" s="3">
        <v>42028</v>
      </c>
      <c r="U923" s="3">
        <v>42029</v>
      </c>
      <c r="V923" s="4">
        <v>-268.66399999999999</v>
      </c>
      <c r="W923">
        <v>2</v>
      </c>
      <c r="X923">
        <v>149.80000000000001</v>
      </c>
      <c r="Y923" s="7">
        <v>89885</v>
      </c>
    </row>
    <row r="924" spans="1:25" ht="12.75" customHeight="1">
      <c r="A924">
        <v>24187</v>
      </c>
      <c r="B924" t="s">
        <v>25</v>
      </c>
      <c r="C924" s="4">
        <v>0.1</v>
      </c>
      <c r="D924" s="8">
        <v>3.6</v>
      </c>
      <c r="E924" s="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 s="5">
        <v>0.39</v>
      </c>
      <c r="O924" t="s">
        <v>33</v>
      </c>
      <c r="P924" t="s">
        <v>34</v>
      </c>
      <c r="Q924" t="s">
        <v>45</v>
      </c>
      <c r="R924" t="s">
        <v>1670</v>
      </c>
      <c r="S924" s="7">
        <v>92653</v>
      </c>
      <c r="T924" s="3">
        <v>42061</v>
      </c>
      <c r="U924" s="3">
        <v>42062</v>
      </c>
      <c r="V924" s="4">
        <v>-8.2799999999999994</v>
      </c>
      <c r="W924">
        <v>2</v>
      </c>
      <c r="X924">
        <v>6.97</v>
      </c>
      <c r="Y924" s="7">
        <v>90678</v>
      </c>
    </row>
    <row r="925" spans="1:25" ht="12.75" customHeight="1">
      <c r="A925">
        <v>21491</v>
      </c>
      <c r="B925" t="s">
        <v>106</v>
      </c>
      <c r="C925" s="4">
        <v>0.03</v>
      </c>
      <c r="D925" s="8">
        <v>35.409999999999997</v>
      </c>
      <c r="E925" s="4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 s="5">
        <v>0.43</v>
      </c>
      <c r="O925" t="s">
        <v>33</v>
      </c>
      <c r="P925" t="s">
        <v>136</v>
      </c>
      <c r="Q925" t="s">
        <v>137</v>
      </c>
      <c r="R925" t="s">
        <v>1587</v>
      </c>
      <c r="S925" s="7">
        <v>24060</v>
      </c>
      <c r="T925" s="3">
        <v>42118</v>
      </c>
      <c r="U925" s="3">
        <v>42120</v>
      </c>
      <c r="V925" s="4">
        <v>1912.4219999999998</v>
      </c>
      <c r="W925">
        <v>10</v>
      </c>
      <c r="X925">
        <v>367.52</v>
      </c>
      <c r="Y925" s="7">
        <v>86722</v>
      </c>
    </row>
    <row r="926" spans="1:25" ht="12.75" customHeight="1">
      <c r="A926">
        <v>21492</v>
      </c>
      <c r="B926" t="s">
        <v>106</v>
      </c>
      <c r="C926" s="4">
        <v>0</v>
      </c>
      <c r="D926" s="8">
        <v>142.86000000000001</v>
      </c>
      <c r="E926" s="4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 s="5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 s="7">
        <v>24060</v>
      </c>
      <c r="T926" s="3">
        <v>42118</v>
      </c>
      <c r="U926" s="3">
        <v>42127</v>
      </c>
      <c r="V926" s="4">
        <v>-739.32600000000002</v>
      </c>
      <c r="W926">
        <v>11</v>
      </c>
      <c r="X926">
        <v>1576.35</v>
      </c>
      <c r="Y926" s="7">
        <v>86722</v>
      </c>
    </row>
    <row r="927" spans="1:25" ht="12.75" customHeight="1">
      <c r="A927">
        <v>23578</v>
      </c>
      <c r="B927" t="s">
        <v>106</v>
      </c>
      <c r="C927" s="4">
        <v>0.1</v>
      </c>
      <c r="D927" s="8">
        <v>4.13</v>
      </c>
      <c r="E927" s="4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 s="5">
        <v>0.39</v>
      </c>
      <c r="O927" t="s">
        <v>33</v>
      </c>
      <c r="P927" t="s">
        <v>136</v>
      </c>
      <c r="Q927" t="s">
        <v>137</v>
      </c>
      <c r="R927" t="s">
        <v>1675</v>
      </c>
      <c r="S927" s="7">
        <v>22015</v>
      </c>
      <c r="T927" s="3">
        <v>42044</v>
      </c>
      <c r="U927" s="3">
        <v>42048</v>
      </c>
      <c r="V927" s="4">
        <v>-40.53</v>
      </c>
      <c r="W927">
        <v>13</v>
      </c>
      <c r="X927">
        <v>52.16</v>
      </c>
      <c r="Y927" s="7">
        <v>86724</v>
      </c>
    </row>
    <row r="928" spans="1:25" ht="12.75" customHeight="1">
      <c r="A928">
        <v>22007</v>
      </c>
      <c r="B928" t="s">
        <v>47</v>
      </c>
      <c r="C928" s="4">
        <v>0.03</v>
      </c>
      <c r="D928" s="8">
        <v>223.98</v>
      </c>
      <c r="E928" s="4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 s="5">
        <v>0.38</v>
      </c>
      <c r="O928" t="s">
        <v>33</v>
      </c>
      <c r="P928" t="s">
        <v>136</v>
      </c>
      <c r="Q928" t="s">
        <v>137</v>
      </c>
      <c r="R928" t="s">
        <v>1675</v>
      </c>
      <c r="S928" s="7">
        <v>22015</v>
      </c>
      <c r="T928" s="3">
        <v>42136</v>
      </c>
      <c r="U928" s="3">
        <v>42137</v>
      </c>
      <c r="V928" s="4">
        <v>0.69599999999999995</v>
      </c>
      <c r="W928">
        <v>21</v>
      </c>
      <c r="X928">
        <v>4881.84</v>
      </c>
      <c r="Y928" s="7">
        <v>86725</v>
      </c>
    </row>
    <row r="929" spans="1:25" ht="12.75" customHeight="1">
      <c r="A929">
        <v>25066</v>
      </c>
      <c r="B929" t="s">
        <v>106</v>
      </c>
      <c r="C929" s="4">
        <v>0.02</v>
      </c>
      <c r="D929" s="8">
        <v>284.98</v>
      </c>
      <c r="E929" s="4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 s="5">
        <v>0.6</v>
      </c>
      <c r="O929" t="s">
        <v>33</v>
      </c>
      <c r="P929" t="s">
        <v>136</v>
      </c>
      <c r="Q929" t="s">
        <v>137</v>
      </c>
      <c r="R929" t="s">
        <v>1678</v>
      </c>
      <c r="S929" s="7">
        <v>22901</v>
      </c>
      <c r="T929" s="3">
        <v>42162</v>
      </c>
      <c r="U929" s="3">
        <v>42167</v>
      </c>
      <c r="V929" s="4">
        <v>15.527999999999999</v>
      </c>
      <c r="W929">
        <v>3</v>
      </c>
      <c r="X929">
        <v>926.3</v>
      </c>
      <c r="Y929" s="7">
        <v>86723</v>
      </c>
    </row>
    <row r="930" spans="1:25" ht="12.75" customHeight="1">
      <c r="A930">
        <v>25067</v>
      </c>
      <c r="B930" t="s">
        <v>106</v>
      </c>
      <c r="C930" s="4">
        <v>0.08</v>
      </c>
      <c r="D930" s="8">
        <v>55.48</v>
      </c>
      <c r="E930" s="4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 s="5">
        <v>0.37</v>
      </c>
      <c r="O930" t="s">
        <v>33</v>
      </c>
      <c r="P930" t="s">
        <v>136</v>
      </c>
      <c r="Q930" t="s">
        <v>137</v>
      </c>
      <c r="R930" t="s">
        <v>1678</v>
      </c>
      <c r="S930" s="7">
        <v>22901</v>
      </c>
      <c r="T930" s="3">
        <v>42162</v>
      </c>
      <c r="U930" s="3">
        <v>42164</v>
      </c>
      <c r="V930" s="4">
        <v>-225.56379999999999</v>
      </c>
      <c r="W930">
        <v>17</v>
      </c>
      <c r="X930">
        <v>942.53</v>
      </c>
      <c r="Y930" s="7">
        <v>86723</v>
      </c>
    </row>
    <row r="931" spans="1:25" ht="12.75" customHeight="1">
      <c r="A931">
        <v>18150</v>
      </c>
      <c r="B931" t="s">
        <v>56</v>
      </c>
      <c r="C931" s="4">
        <v>7.0000000000000007E-2</v>
      </c>
      <c r="D931" s="8">
        <v>13.73</v>
      </c>
      <c r="E931" s="4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 s="5">
        <v>0.54</v>
      </c>
      <c r="O931" t="s">
        <v>33</v>
      </c>
      <c r="P931" t="s">
        <v>53</v>
      </c>
      <c r="Q931" t="s">
        <v>154</v>
      </c>
      <c r="R931" t="s">
        <v>1680</v>
      </c>
      <c r="S931" s="7">
        <v>45324</v>
      </c>
      <c r="T931" s="3">
        <v>42083</v>
      </c>
      <c r="U931" s="3">
        <v>42084</v>
      </c>
      <c r="V931" s="4">
        <v>-22.72</v>
      </c>
      <c r="W931">
        <v>21</v>
      </c>
      <c r="X931">
        <v>276.64</v>
      </c>
      <c r="Y931" s="7">
        <v>86646</v>
      </c>
    </row>
    <row r="932" spans="1:25" ht="12.75" customHeight="1">
      <c r="A932">
        <v>23524</v>
      </c>
      <c r="B932" t="s">
        <v>106</v>
      </c>
      <c r="C932" s="4">
        <v>0.09</v>
      </c>
      <c r="D932" s="8">
        <v>30.98</v>
      </c>
      <c r="E932" s="4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 s="5">
        <v>0.36</v>
      </c>
      <c r="O932" t="s">
        <v>33</v>
      </c>
      <c r="P932" t="s">
        <v>53</v>
      </c>
      <c r="Q932" t="s">
        <v>154</v>
      </c>
      <c r="R932" t="s">
        <v>393</v>
      </c>
      <c r="S932" s="7">
        <v>45014</v>
      </c>
      <c r="T932" s="3">
        <v>42127</v>
      </c>
      <c r="U932" s="3">
        <v>42129</v>
      </c>
      <c r="V932" s="4">
        <v>-163.53</v>
      </c>
      <c r="W932">
        <v>18</v>
      </c>
      <c r="X932">
        <v>514.62</v>
      </c>
      <c r="Y932" s="7">
        <v>86645</v>
      </c>
    </row>
    <row r="933" spans="1:25" ht="12.75" customHeight="1">
      <c r="A933">
        <v>23525</v>
      </c>
      <c r="B933" t="s">
        <v>106</v>
      </c>
      <c r="C933" s="4">
        <v>0.03</v>
      </c>
      <c r="D933" s="8">
        <v>49.34</v>
      </c>
      <c r="E933" s="4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 s="5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 s="7">
        <v>45014</v>
      </c>
      <c r="T933" s="3">
        <v>42127</v>
      </c>
      <c r="U933" s="3">
        <v>42129</v>
      </c>
      <c r="V933" s="4">
        <v>554.77</v>
      </c>
      <c r="W933">
        <v>17</v>
      </c>
      <c r="X933">
        <v>817.32</v>
      </c>
      <c r="Y933" s="7">
        <v>86645</v>
      </c>
    </row>
    <row r="934" spans="1:25" ht="12.75" customHeight="1">
      <c r="A934">
        <v>1976</v>
      </c>
      <c r="B934" t="s">
        <v>37</v>
      </c>
      <c r="C934" s="4">
        <v>0.04</v>
      </c>
      <c r="D934" s="8">
        <v>6.28</v>
      </c>
      <c r="E934" s="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 s="5">
        <v>0.53</v>
      </c>
      <c r="O934" t="s">
        <v>33</v>
      </c>
      <c r="P934" t="s">
        <v>61</v>
      </c>
      <c r="Q934" t="s">
        <v>178</v>
      </c>
      <c r="R934" t="s">
        <v>179</v>
      </c>
      <c r="S934" s="7">
        <v>60611</v>
      </c>
      <c r="T934" s="3">
        <v>42049</v>
      </c>
      <c r="U934" s="3">
        <v>42051</v>
      </c>
      <c r="V934" s="4">
        <v>-38.380000000000003</v>
      </c>
      <c r="W934">
        <v>43</v>
      </c>
      <c r="X934">
        <v>284.48</v>
      </c>
      <c r="Y934" s="7">
        <v>14115</v>
      </c>
    </row>
    <row r="935" spans="1:25" ht="12.75" customHeight="1">
      <c r="A935">
        <v>5358</v>
      </c>
      <c r="B935" t="s">
        <v>37</v>
      </c>
      <c r="C935" s="4">
        <v>0.08</v>
      </c>
      <c r="D935" s="8">
        <v>4.9800000000000004</v>
      </c>
      <c r="E935" s="4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 s="5">
        <v>0.38</v>
      </c>
      <c r="O935" t="s">
        <v>33</v>
      </c>
      <c r="P935" t="s">
        <v>61</v>
      </c>
      <c r="Q935" t="s">
        <v>178</v>
      </c>
      <c r="R935" t="s">
        <v>179</v>
      </c>
      <c r="S935" s="7">
        <v>60611</v>
      </c>
      <c r="T935" s="3">
        <v>42077</v>
      </c>
      <c r="U935" s="3">
        <v>42078</v>
      </c>
      <c r="V935" s="4">
        <v>-56.35</v>
      </c>
      <c r="W935">
        <v>47</v>
      </c>
      <c r="X935">
        <v>225.98</v>
      </c>
      <c r="Y935" s="7">
        <v>38080</v>
      </c>
    </row>
    <row r="936" spans="1:25" ht="12.75" customHeight="1">
      <c r="A936">
        <v>19976</v>
      </c>
      <c r="B936" t="s">
        <v>37</v>
      </c>
      <c r="C936" s="4">
        <v>0.04</v>
      </c>
      <c r="D936" s="8">
        <v>6.28</v>
      </c>
      <c r="E936" s="4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 s="5">
        <v>0.53</v>
      </c>
      <c r="O936" t="s">
        <v>33</v>
      </c>
      <c r="P936" t="s">
        <v>61</v>
      </c>
      <c r="Q936" t="s">
        <v>130</v>
      </c>
      <c r="R936" t="s">
        <v>1688</v>
      </c>
      <c r="S936" s="7">
        <v>77301</v>
      </c>
      <c r="T936" s="3">
        <v>42049</v>
      </c>
      <c r="U936" s="3">
        <v>42051</v>
      </c>
      <c r="V936" s="4">
        <v>-19.957600000000003</v>
      </c>
      <c r="W936">
        <v>11</v>
      </c>
      <c r="X936">
        <v>72.77</v>
      </c>
      <c r="Y936" s="7">
        <v>90612</v>
      </c>
    </row>
    <row r="937" spans="1:25" ht="12.75" customHeight="1">
      <c r="A937">
        <v>23358</v>
      </c>
      <c r="B937" t="s">
        <v>37</v>
      </c>
      <c r="C937" s="4">
        <v>0.08</v>
      </c>
      <c r="D937" s="8">
        <v>4.9800000000000004</v>
      </c>
      <c r="E937" s="4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 s="5">
        <v>0.38</v>
      </c>
      <c r="O937" t="s">
        <v>33</v>
      </c>
      <c r="P937" t="s">
        <v>61</v>
      </c>
      <c r="Q937" t="s">
        <v>130</v>
      </c>
      <c r="R937" t="s">
        <v>1688</v>
      </c>
      <c r="S937" s="7">
        <v>77301</v>
      </c>
      <c r="T937" s="3">
        <v>42077</v>
      </c>
      <c r="U937" s="3">
        <v>42078</v>
      </c>
      <c r="V937" s="4">
        <v>-56.35</v>
      </c>
      <c r="W937">
        <v>12</v>
      </c>
      <c r="X937">
        <v>57.7</v>
      </c>
      <c r="Y937" s="7">
        <v>90613</v>
      </c>
    </row>
    <row r="938" spans="1:25" ht="12.75" customHeight="1">
      <c r="A938">
        <v>19751</v>
      </c>
      <c r="B938" t="s">
        <v>106</v>
      </c>
      <c r="C938" s="4">
        <v>0.08</v>
      </c>
      <c r="D938" s="8">
        <v>2.08</v>
      </c>
      <c r="E938" s="4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 s="5">
        <v>0.43</v>
      </c>
      <c r="O938" t="s">
        <v>33</v>
      </c>
      <c r="P938" t="s">
        <v>61</v>
      </c>
      <c r="Q938" t="s">
        <v>178</v>
      </c>
      <c r="R938" t="s">
        <v>1690</v>
      </c>
      <c r="S938" s="7">
        <v>60123</v>
      </c>
      <c r="T938" s="3">
        <v>42066</v>
      </c>
      <c r="U938" s="3">
        <v>42073</v>
      </c>
      <c r="V938" s="4">
        <v>-129.01</v>
      </c>
      <c r="W938">
        <v>9</v>
      </c>
      <c r="X938">
        <v>19.670000000000002</v>
      </c>
      <c r="Y938" s="7">
        <v>86973</v>
      </c>
    </row>
    <row r="939" spans="1:25" ht="12.75" customHeight="1">
      <c r="A939">
        <v>25690</v>
      </c>
      <c r="B939" t="s">
        <v>25</v>
      </c>
      <c r="C939" s="4">
        <v>0</v>
      </c>
      <c r="D939" s="8">
        <v>48.91</v>
      </c>
      <c r="E939" s="4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 s="5">
        <v>0.83</v>
      </c>
      <c r="O939" t="s">
        <v>33</v>
      </c>
      <c r="P939" t="s">
        <v>61</v>
      </c>
      <c r="Q939" t="s">
        <v>703</v>
      </c>
      <c r="R939" t="s">
        <v>1623</v>
      </c>
      <c r="S939" s="7">
        <v>46322</v>
      </c>
      <c r="T939" s="3">
        <v>42087</v>
      </c>
      <c r="U939" s="3">
        <v>42088</v>
      </c>
      <c r="V939" s="4">
        <v>-628.38</v>
      </c>
      <c r="W939">
        <v>10</v>
      </c>
      <c r="X939">
        <v>514.79</v>
      </c>
      <c r="Y939" s="7">
        <v>91077</v>
      </c>
    </row>
    <row r="940" spans="1:25" ht="12.75" customHeight="1">
      <c r="A940">
        <v>22798</v>
      </c>
      <c r="B940" t="s">
        <v>106</v>
      </c>
      <c r="C940" s="4">
        <v>0.05</v>
      </c>
      <c r="D940" s="8">
        <v>115.99</v>
      </c>
      <c r="E940" s="4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 s="5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 s="7">
        <v>17112</v>
      </c>
      <c r="T940" s="3">
        <v>42028</v>
      </c>
      <c r="U940" s="3">
        <v>42032</v>
      </c>
      <c r="V940" s="4">
        <v>616.53569999999991</v>
      </c>
      <c r="W940">
        <v>9</v>
      </c>
      <c r="X940">
        <v>893.53</v>
      </c>
      <c r="Y940" s="7">
        <v>91076</v>
      </c>
    </row>
    <row r="941" spans="1:25" ht="12.75" customHeight="1">
      <c r="A941">
        <v>23626</v>
      </c>
      <c r="B941" t="s">
        <v>37</v>
      </c>
      <c r="C941" s="4">
        <v>0.09</v>
      </c>
      <c r="D941" s="8">
        <v>95.43</v>
      </c>
      <c r="E941" s="4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 s="5">
        <v>0.79</v>
      </c>
      <c r="O941" t="s">
        <v>33</v>
      </c>
      <c r="P941" t="s">
        <v>53</v>
      </c>
      <c r="Q941" t="s">
        <v>234</v>
      </c>
      <c r="R941" t="s">
        <v>1695</v>
      </c>
      <c r="S941" s="7">
        <v>17112</v>
      </c>
      <c r="T941" s="3">
        <v>42156</v>
      </c>
      <c r="U941" s="3">
        <v>42157</v>
      </c>
      <c r="V941" s="4">
        <v>-143.23500000000001</v>
      </c>
      <c r="W941">
        <v>22</v>
      </c>
      <c r="X941">
        <v>2053.6</v>
      </c>
      <c r="Y941" s="7">
        <v>91078</v>
      </c>
    </row>
    <row r="942" spans="1:25" ht="12.75" customHeight="1">
      <c r="A942">
        <v>19481</v>
      </c>
      <c r="B942" t="s">
        <v>37</v>
      </c>
      <c r="C942" s="4">
        <v>0</v>
      </c>
      <c r="D942" s="8">
        <v>6.84</v>
      </c>
      <c r="E942" s="4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 s="5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 s="7">
        <v>67114</v>
      </c>
      <c r="T942" s="3">
        <v>42027</v>
      </c>
      <c r="U942" s="3">
        <v>42028</v>
      </c>
      <c r="V942" s="4">
        <v>-123.1816</v>
      </c>
      <c r="W942">
        <v>5</v>
      </c>
      <c r="X942">
        <v>37.89</v>
      </c>
      <c r="Y942" s="7">
        <v>90189</v>
      </c>
    </row>
    <row r="943" spans="1:25" ht="12.75" customHeight="1">
      <c r="A943">
        <v>19482</v>
      </c>
      <c r="B943" t="s">
        <v>37</v>
      </c>
      <c r="C943" s="4">
        <v>7.0000000000000007E-2</v>
      </c>
      <c r="D943" s="8">
        <v>30.98</v>
      </c>
      <c r="E943" s="4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 s="5">
        <v>0.4</v>
      </c>
      <c r="O943" t="s">
        <v>33</v>
      </c>
      <c r="P943" t="s">
        <v>136</v>
      </c>
      <c r="Q943" t="s">
        <v>137</v>
      </c>
      <c r="R943" t="s">
        <v>1699</v>
      </c>
      <c r="S943" s="7">
        <v>20190</v>
      </c>
      <c r="T943" s="3">
        <v>42027</v>
      </c>
      <c r="U943" s="3">
        <v>42029</v>
      </c>
      <c r="V943" s="4">
        <v>-28.798000000000002</v>
      </c>
      <c r="W943">
        <v>11</v>
      </c>
      <c r="X943">
        <v>343.79</v>
      </c>
      <c r="Y943" s="7">
        <v>90189</v>
      </c>
    </row>
    <row r="944" spans="1:25" ht="12.75" customHeight="1">
      <c r="A944">
        <v>21262</v>
      </c>
      <c r="B944" t="s">
        <v>106</v>
      </c>
      <c r="C944" s="4">
        <v>0.01</v>
      </c>
      <c r="D944" s="8">
        <v>15.67</v>
      </c>
      <c r="E944" s="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 s="5">
        <v>0.38</v>
      </c>
      <c r="O944" t="s">
        <v>33</v>
      </c>
      <c r="P944" t="s">
        <v>136</v>
      </c>
      <c r="Q944" t="s">
        <v>137</v>
      </c>
      <c r="R944" t="s">
        <v>1699</v>
      </c>
      <c r="S944" s="7">
        <v>20190</v>
      </c>
      <c r="T944" s="3">
        <v>42135</v>
      </c>
      <c r="U944" s="3">
        <v>42135</v>
      </c>
      <c r="V944" s="4">
        <v>-273.98</v>
      </c>
      <c r="W944">
        <v>11</v>
      </c>
      <c r="X944">
        <v>188.09</v>
      </c>
      <c r="Y944" s="7">
        <v>90190</v>
      </c>
    </row>
    <row r="945" spans="1:25" ht="12.75" customHeight="1">
      <c r="A945">
        <v>24941</v>
      </c>
      <c r="B945" t="s">
        <v>56</v>
      </c>
      <c r="C945" s="4">
        <v>0</v>
      </c>
      <c r="D945" s="8">
        <v>13.43</v>
      </c>
      <c r="E945" s="4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 s="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 s="7">
        <v>71901</v>
      </c>
      <c r="T945" s="3">
        <v>42020</v>
      </c>
      <c r="U945" s="3">
        <v>42021</v>
      </c>
      <c r="V945" s="4">
        <v>-253.77800000000002</v>
      </c>
      <c r="W945">
        <v>9</v>
      </c>
      <c r="X945">
        <v>129.54</v>
      </c>
      <c r="Y945" s="7">
        <v>86338</v>
      </c>
    </row>
    <row r="946" spans="1:25" ht="12.75" customHeight="1">
      <c r="A946">
        <v>18275</v>
      </c>
      <c r="B946" t="s">
        <v>106</v>
      </c>
      <c r="C946" s="4">
        <v>0.05</v>
      </c>
      <c r="D946" s="8">
        <v>3.98</v>
      </c>
      <c r="E946" s="4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 s="5">
        <v>0.38</v>
      </c>
      <c r="O946" t="s">
        <v>33</v>
      </c>
      <c r="P946" t="s">
        <v>53</v>
      </c>
      <c r="Q946" t="s">
        <v>234</v>
      </c>
      <c r="R946" t="s">
        <v>1706</v>
      </c>
      <c r="S946" s="7">
        <v>19057</v>
      </c>
      <c r="T946" s="3">
        <v>42088</v>
      </c>
      <c r="U946" s="3">
        <v>42092</v>
      </c>
      <c r="V946" s="4">
        <v>-152.52449999999999</v>
      </c>
      <c r="W946">
        <v>12</v>
      </c>
      <c r="X946">
        <v>49.44</v>
      </c>
      <c r="Y946" s="7">
        <v>87345</v>
      </c>
    </row>
    <row r="947" spans="1:25" ht="12.75" customHeight="1">
      <c r="A947">
        <v>18276</v>
      </c>
      <c r="B947" t="s">
        <v>106</v>
      </c>
      <c r="C947" s="4">
        <v>0.01</v>
      </c>
      <c r="D947" s="8">
        <v>6.48</v>
      </c>
      <c r="E947" s="4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 s="5">
        <v>0.37</v>
      </c>
      <c r="O947" t="s">
        <v>33</v>
      </c>
      <c r="P947" t="s">
        <v>53</v>
      </c>
      <c r="Q947" t="s">
        <v>234</v>
      </c>
      <c r="R947" t="s">
        <v>1706</v>
      </c>
      <c r="S947" s="7">
        <v>19057</v>
      </c>
      <c r="T947" s="3">
        <v>42088</v>
      </c>
      <c r="U947" s="3">
        <v>42088</v>
      </c>
      <c r="V947" s="4">
        <v>-18.850000000000001</v>
      </c>
      <c r="W947">
        <v>2</v>
      </c>
      <c r="X947">
        <v>14.29</v>
      </c>
      <c r="Y947" s="7">
        <v>87345</v>
      </c>
    </row>
    <row r="948" spans="1:25" ht="12.75" customHeight="1">
      <c r="A948">
        <v>24158</v>
      </c>
      <c r="B948" t="s">
        <v>56</v>
      </c>
      <c r="C948" s="4">
        <v>0.05</v>
      </c>
      <c r="D948" s="8">
        <v>14.81</v>
      </c>
      <c r="E948" s="4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 s="5">
        <v>0.43</v>
      </c>
      <c r="O948" t="s">
        <v>33</v>
      </c>
      <c r="P948" t="s">
        <v>136</v>
      </c>
      <c r="Q948" t="s">
        <v>671</v>
      </c>
      <c r="R948" t="s">
        <v>1709</v>
      </c>
      <c r="S948" s="7">
        <v>39301</v>
      </c>
      <c r="T948" s="3">
        <v>42021</v>
      </c>
      <c r="U948" s="3">
        <v>42024</v>
      </c>
      <c r="V948" s="4">
        <v>-220.05200000000002</v>
      </c>
      <c r="W948">
        <v>3</v>
      </c>
      <c r="X948">
        <v>45.28</v>
      </c>
      <c r="Y948" s="7">
        <v>90473</v>
      </c>
    </row>
    <row r="949" spans="1:25" ht="12.75" customHeight="1">
      <c r="A949">
        <v>24159</v>
      </c>
      <c r="B949" t="s">
        <v>56</v>
      </c>
      <c r="C949" s="4">
        <v>0.05</v>
      </c>
      <c r="D949" s="8">
        <v>4.2</v>
      </c>
      <c r="E949" s="4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 s="5">
        <v>0.36</v>
      </c>
      <c r="O949" t="s">
        <v>33</v>
      </c>
      <c r="P949" t="s">
        <v>136</v>
      </c>
      <c r="Q949" t="s">
        <v>671</v>
      </c>
      <c r="R949" t="s">
        <v>1709</v>
      </c>
      <c r="S949" s="7">
        <v>39301</v>
      </c>
      <c r="T949" s="3">
        <v>42021</v>
      </c>
      <c r="U949" s="3">
        <v>42023</v>
      </c>
      <c r="V949" s="4">
        <v>20.393369999999997</v>
      </c>
      <c r="W949">
        <v>3</v>
      </c>
      <c r="X949">
        <v>13.57</v>
      </c>
      <c r="Y949" s="7">
        <v>90473</v>
      </c>
    </row>
    <row r="950" spans="1:25" ht="12.75" customHeight="1">
      <c r="A950">
        <v>25761</v>
      </c>
      <c r="B950" t="s">
        <v>56</v>
      </c>
      <c r="C950" s="4">
        <v>0.05</v>
      </c>
      <c r="D950" s="8">
        <v>5.68</v>
      </c>
      <c r="E950" s="4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 s="5">
        <v>0.38</v>
      </c>
      <c r="O950" t="s">
        <v>33</v>
      </c>
      <c r="P950" t="s">
        <v>53</v>
      </c>
      <c r="Q950" t="s">
        <v>154</v>
      </c>
      <c r="R950" t="s">
        <v>1711</v>
      </c>
      <c r="S950" s="7">
        <v>44118</v>
      </c>
      <c r="T950" s="3">
        <v>42021</v>
      </c>
      <c r="U950" s="3">
        <v>42022</v>
      </c>
      <c r="V950" s="4">
        <v>38.281199999999998</v>
      </c>
      <c r="W950">
        <v>10</v>
      </c>
      <c r="X950">
        <v>55.48</v>
      </c>
      <c r="Y950" s="7">
        <v>88781</v>
      </c>
    </row>
    <row r="951" spans="1:25" ht="12.75" customHeight="1">
      <c r="A951">
        <v>26037</v>
      </c>
      <c r="B951" t="s">
        <v>37</v>
      </c>
      <c r="C951" s="4">
        <v>0.03</v>
      </c>
      <c r="D951" s="8">
        <v>205.99</v>
      </c>
      <c r="E951" s="4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 s="5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 s="7">
        <v>44118</v>
      </c>
      <c r="T951" s="3">
        <v>42144</v>
      </c>
      <c r="U951" s="3">
        <v>42145</v>
      </c>
      <c r="V951" s="4">
        <v>3670.3514999999998</v>
      </c>
      <c r="W951">
        <v>29</v>
      </c>
      <c r="X951">
        <v>5319.35</v>
      </c>
      <c r="Y951" s="7">
        <v>88784</v>
      </c>
    </row>
    <row r="952" spans="1:25" ht="12.75" customHeight="1">
      <c r="A952">
        <v>23822</v>
      </c>
      <c r="B952" t="s">
        <v>37</v>
      </c>
      <c r="C952" s="4">
        <v>0.01</v>
      </c>
      <c r="D952" s="8">
        <v>14.28</v>
      </c>
      <c r="E952" s="4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 s="5">
        <v>0.39</v>
      </c>
      <c r="O952" t="s">
        <v>33</v>
      </c>
      <c r="P952" t="s">
        <v>53</v>
      </c>
      <c r="Q952" t="s">
        <v>234</v>
      </c>
      <c r="R952" t="s">
        <v>1714</v>
      </c>
      <c r="S952" s="7">
        <v>19464</v>
      </c>
      <c r="T952" s="3">
        <v>42025</v>
      </c>
      <c r="U952" s="3">
        <v>42026</v>
      </c>
      <c r="V952" s="4">
        <v>21.003500000000003</v>
      </c>
      <c r="W952">
        <v>2</v>
      </c>
      <c r="X952">
        <v>30.44</v>
      </c>
      <c r="Y952" s="7">
        <v>88782</v>
      </c>
    </row>
    <row r="953" spans="1:25" ht="12.75" customHeight="1">
      <c r="A953">
        <v>24577</v>
      </c>
      <c r="B953" t="s">
        <v>56</v>
      </c>
      <c r="C953" s="4">
        <v>0.04</v>
      </c>
      <c r="D953" s="8">
        <v>95.43</v>
      </c>
      <c r="E953" s="4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 s="5">
        <v>0.79</v>
      </c>
      <c r="O953" t="s">
        <v>33</v>
      </c>
      <c r="P953" t="s">
        <v>53</v>
      </c>
      <c r="Q953" t="s">
        <v>234</v>
      </c>
      <c r="R953" t="s">
        <v>1714</v>
      </c>
      <c r="S953" s="7">
        <v>19464</v>
      </c>
      <c r="T953" s="3">
        <v>42134</v>
      </c>
      <c r="U953" s="3">
        <v>42136</v>
      </c>
      <c r="V953" s="4">
        <v>13.536000000000016</v>
      </c>
      <c r="W953">
        <v>33</v>
      </c>
      <c r="X953">
        <v>3251.76</v>
      </c>
      <c r="Y953" s="7">
        <v>88783</v>
      </c>
    </row>
    <row r="954" spans="1:25" ht="12.75" customHeight="1">
      <c r="A954">
        <v>19287</v>
      </c>
      <c r="B954" t="s">
        <v>37</v>
      </c>
      <c r="C954" s="4">
        <v>7.0000000000000007E-2</v>
      </c>
      <c r="D954" s="8">
        <v>7.59</v>
      </c>
      <c r="E954" s="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 s="5">
        <v>0.42</v>
      </c>
      <c r="O954" t="s">
        <v>33</v>
      </c>
      <c r="P954" t="s">
        <v>136</v>
      </c>
      <c r="Q954" t="s">
        <v>387</v>
      </c>
      <c r="R954" t="s">
        <v>1716</v>
      </c>
      <c r="S954" s="7">
        <v>30062</v>
      </c>
      <c r="T954" s="3">
        <v>42079</v>
      </c>
      <c r="U954" s="3">
        <v>42081</v>
      </c>
      <c r="V954" s="4">
        <v>-167.048</v>
      </c>
      <c r="W954">
        <v>3</v>
      </c>
      <c r="X954">
        <v>22.48</v>
      </c>
      <c r="Y954" s="7">
        <v>87747</v>
      </c>
    </row>
    <row r="955" spans="1:25" ht="12.75" customHeight="1">
      <c r="A955">
        <v>21655</v>
      </c>
      <c r="B955" t="s">
        <v>106</v>
      </c>
      <c r="C955" s="4">
        <v>0.03</v>
      </c>
      <c r="D955" s="8">
        <v>11.66</v>
      </c>
      <c r="E955" s="4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 s="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 s="7">
        <v>30907</v>
      </c>
      <c r="T955" s="3">
        <v>42105</v>
      </c>
      <c r="U955" s="3">
        <v>42114</v>
      </c>
      <c r="V955" s="4">
        <v>-31.094000000000001</v>
      </c>
      <c r="W955">
        <v>22</v>
      </c>
      <c r="X955">
        <v>267.32</v>
      </c>
      <c r="Y955" s="7">
        <v>87749</v>
      </c>
    </row>
    <row r="956" spans="1:25" ht="12.75" customHeight="1">
      <c r="A956">
        <v>25078</v>
      </c>
      <c r="B956" t="s">
        <v>25</v>
      </c>
      <c r="C956" s="4">
        <v>0.01</v>
      </c>
      <c r="D956" s="8">
        <v>23.99</v>
      </c>
      <c r="E956" s="4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 s="5">
        <v>0.38</v>
      </c>
      <c r="O956" t="s">
        <v>33</v>
      </c>
      <c r="P956" t="s">
        <v>136</v>
      </c>
      <c r="Q956" t="s">
        <v>387</v>
      </c>
      <c r="R956" t="s">
        <v>1722</v>
      </c>
      <c r="S956" s="7">
        <v>30265</v>
      </c>
      <c r="T956" s="3">
        <v>42153</v>
      </c>
      <c r="U956" s="3">
        <v>42155</v>
      </c>
      <c r="V956" s="4">
        <v>-6.202</v>
      </c>
      <c r="W956">
        <v>11</v>
      </c>
      <c r="X956">
        <v>284.39</v>
      </c>
      <c r="Y956" s="7">
        <v>87748</v>
      </c>
    </row>
    <row r="957" spans="1:25" ht="12.75" customHeight="1">
      <c r="A957">
        <v>19884</v>
      </c>
      <c r="B957" t="s">
        <v>106</v>
      </c>
      <c r="C957" s="4">
        <v>0.01</v>
      </c>
      <c r="D957" s="8">
        <v>300.98</v>
      </c>
      <c r="E957" s="4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 s="5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 s="7">
        <v>27529</v>
      </c>
      <c r="T957" s="3">
        <v>42071</v>
      </c>
      <c r="U957" s="3">
        <v>42078</v>
      </c>
      <c r="V957" s="4">
        <v>-48.873999999999995</v>
      </c>
      <c r="W957">
        <v>3</v>
      </c>
      <c r="X957">
        <v>974.14</v>
      </c>
      <c r="Y957" s="7">
        <v>90621</v>
      </c>
    </row>
    <row r="958" spans="1:25" ht="12.75" customHeight="1">
      <c r="A958">
        <v>20619</v>
      </c>
      <c r="B958" t="s">
        <v>56</v>
      </c>
      <c r="C958" s="4">
        <v>0.06</v>
      </c>
      <c r="D958" s="8">
        <v>16.48</v>
      </c>
      <c r="E958" s="4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 s="5">
        <v>0.42</v>
      </c>
      <c r="O958" t="s">
        <v>33</v>
      </c>
      <c r="P958" t="s">
        <v>136</v>
      </c>
      <c r="Q958" t="s">
        <v>1278</v>
      </c>
      <c r="R958" t="s">
        <v>1726</v>
      </c>
      <c r="S958" s="7">
        <v>35473</v>
      </c>
      <c r="T958" s="3">
        <v>42021</v>
      </c>
      <c r="U958" s="3">
        <v>42023</v>
      </c>
      <c r="V958" s="4">
        <v>-144.59200000000001</v>
      </c>
      <c r="W958">
        <v>8</v>
      </c>
      <c r="X958">
        <v>128.13</v>
      </c>
      <c r="Y958" s="7">
        <v>90786</v>
      </c>
    </row>
    <row r="959" spans="1:25" ht="12.75" customHeight="1">
      <c r="A959">
        <v>22596</v>
      </c>
      <c r="B959" t="s">
        <v>25</v>
      </c>
      <c r="C959" s="4">
        <v>0.04</v>
      </c>
      <c r="D959" s="8">
        <v>12.44</v>
      </c>
      <c r="E959" s="4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 s="5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 s="7">
        <v>72401</v>
      </c>
      <c r="T959" s="3">
        <v>42140</v>
      </c>
      <c r="U959" s="3">
        <v>42141</v>
      </c>
      <c r="V959" s="4">
        <v>-258.56600000000003</v>
      </c>
      <c r="W959">
        <v>37</v>
      </c>
      <c r="X959">
        <v>464.94</v>
      </c>
      <c r="Y959" s="7">
        <v>90787</v>
      </c>
    </row>
    <row r="960" spans="1:25" ht="12.75" customHeight="1">
      <c r="A960">
        <v>5670</v>
      </c>
      <c r="B960" t="s">
        <v>106</v>
      </c>
      <c r="C960" s="4">
        <v>0.1</v>
      </c>
      <c r="D960" s="8">
        <v>49.99</v>
      </c>
      <c r="E960" s="4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 s="5">
        <v>0.45</v>
      </c>
      <c r="O960" t="s">
        <v>33</v>
      </c>
      <c r="P960" t="s">
        <v>34</v>
      </c>
      <c r="Q960" t="s">
        <v>45</v>
      </c>
      <c r="R960" t="s">
        <v>1732</v>
      </c>
      <c r="S960" s="7">
        <v>92037</v>
      </c>
      <c r="T960" s="3">
        <v>42035</v>
      </c>
      <c r="U960" s="3">
        <v>42040</v>
      </c>
      <c r="V960" s="4">
        <v>13.508000000000003</v>
      </c>
      <c r="W960">
        <v>46</v>
      </c>
      <c r="X960">
        <v>2188.06</v>
      </c>
      <c r="Y960" s="7">
        <v>40101</v>
      </c>
    </row>
    <row r="961" spans="1:25" ht="12.75" customHeight="1">
      <c r="A961">
        <v>6212</v>
      </c>
      <c r="B961" t="s">
        <v>56</v>
      </c>
      <c r="C961" s="4">
        <v>0.05</v>
      </c>
      <c r="D961" s="8">
        <v>6.68</v>
      </c>
      <c r="E961" s="4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 s="5">
        <v>0.37</v>
      </c>
      <c r="O961" t="s">
        <v>33</v>
      </c>
      <c r="P961" t="s">
        <v>34</v>
      </c>
      <c r="Q961" t="s">
        <v>45</v>
      </c>
      <c r="R961" t="s">
        <v>1732</v>
      </c>
      <c r="S961" s="7">
        <v>92037</v>
      </c>
      <c r="T961" s="3">
        <v>42042</v>
      </c>
      <c r="U961" s="3">
        <v>42044</v>
      </c>
      <c r="V961" s="4">
        <v>-66.48</v>
      </c>
      <c r="W961">
        <v>46</v>
      </c>
      <c r="X961">
        <v>320.93</v>
      </c>
      <c r="Y961" s="7">
        <v>44002</v>
      </c>
    </row>
    <row r="962" spans="1:25" ht="12.75" customHeight="1">
      <c r="A962">
        <v>6213</v>
      </c>
      <c r="B962" t="s">
        <v>56</v>
      </c>
      <c r="C962" s="4">
        <v>0.03</v>
      </c>
      <c r="D962" s="8">
        <v>17.7</v>
      </c>
      <c r="E962" s="4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 s="5">
        <v>0.59</v>
      </c>
      <c r="O962" t="s">
        <v>33</v>
      </c>
      <c r="P962" t="s">
        <v>34</v>
      </c>
      <c r="Q962" t="s">
        <v>45</v>
      </c>
      <c r="R962" t="s">
        <v>1732</v>
      </c>
      <c r="S962" s="7">
        <v>92037</v>
      </c>
      <c r="T962" s="3">
        <v>42042</v>
      </c>
      <c r="U962" s="3">
        <v>42042</v>
      </c>
      <c r="V962" s="4">
        <v>-52.33</v>
      </c>
      <c r="W962">
        <v>14</v>
      </c>
      <c r="X962">
        <v>261.85000000000002</v>
      </c>
      <c r="Y962" s="7">
        <v>44002</v>
      </c>
    </row>
    <row r="963" spans="1:25" ht="12.75" customHeight="1">
      <c r="A963">
        <v>4596</v>
      </c>
      <c r="B963" t="s">
        <v>25</v>
      </c>
      <c r="C963" s="4">
        <v>0.04</v>
      </c>
      <c r="D963" s="8">
        <v>12.44</v>
      </c>
      <c r="E963" s="4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 s="5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 s="7">
        <v>92037</v>
      </c>
      <c r="T963" s="3">
        <v>42140</v>
      </c>
      <c r="U963" s="3">
        <v>42141</v>
      </c>
      <c r="V963" s="4">
        <v>-59.06</v>
      </c>
      <c r="W963">
        <v>146</v>
      </c>
      <c r="X963">
        <v>1834.61</v>
      </c>
      <c r="Y963" s="7">
        <v>32710</v>
      </c>
    </row>
    <row r="964" spans="1:25" ht="12.75" customHeight="1">
      <c r="A964">
        <v>18244</v>
      </c>
      <c r="B964" t="s">
        <v>25</v>
      </c>
      <c r="C964" s="4">
        <v>0.05</v>
      </c>
      <c r="D964" s="8">
        <v>35.99</v>
      </c>
      <c r="E964" s="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 s="5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 s="7">
        <v>43026</v>
      </c>
      <c r="T964" s="3">
        <v>42131</v>
      </c>
      <c r="U964" s="3">
        <v>42133</v>
      </c>
      <c r="V964" s="4">
        <v>149.166</v>
      </c>
      <c r="W964">
        <v>9</v>
      </c>
      <c r="X964">
        <v>261.56</v>
      </c>
      <c r="Y964" s="7">
        <v>87193</v>
      </c>
    </row>
    <row r="965" spans="1:25" ht="12.75" customHeight="1">
      <c r="A965">
        <v>24872</v>
      </c>
      <c r="B965" t="s">
        <v>37</v>
      </c>
      <c r="C965" s="4">
        <v>0.1</v>
      </c>
      <c r="D965" s="8">
        <v>14.98</v>
      </c>
      <c r="E965" s="4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 s="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 s="7">
        <v>44240</v>
      </c>
      <c r="T965" s="3">
        <v>42025</v>
      </c>
      <c r="U965" s="3">
        <v>42027</v>
      </c>
      <c r="V965" s="4">
        <v>-76.900000000000006</v>
      </c>
      <c r="W965">
        <v>8</v>
      </c>
      <c r="X965">
        <v>114.81</v>
      </c>
      <c r="Y965" s="7">
        <v>87194</v>
      </c>
    </row>
    <row r="966" spans="1:25" ht="12.75" customHeight="1">
      <c r="A966">
        <v>26066</v>
      </c>
      <c r="B966" t="s">
        <v>25</v>
      </c>
      <c r="C966" s="4">
        <v>0.04</v>
      </c>
      <c r="D966" s="8">
        <v>55.48</v>
      </c>
      <c r="E966" s="4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 s="5">
        <v>0.37</v>
      </c>
      <c r="O966" t="s">
        <v>33</v>
      </c>
      <c r="P966" t="s">
        <v>53</v>
      </c>
      <c r="Q966" t="s">
        <v>154</v>
      </c>
      <c r="R966" t="s">
        <v>1739</v>
      </c>
      <c r="S966" s="7">
        <v>45429</v>
      </c>
      <c r="T966" s="3">
        <v>42057</v>
      </c>
      <c r="U966" s="3">
        <v>42059</v>
      </c>
      <c r="V966" s="4">
        <v>376.88490000000002</v>
      </c>
      <c r="W966">
        <v>10</v>
      </c>
      <c r="X966">
        <v>546.21</v>
      </c>
      <c r="Y966" s="7">
        <v>87195</v>
      </c>
    </row>
    <row r="967" spans="1:25" ht="12.75" customHeight="1">
      <c r="A967">
        <v>24545</v>
      </c>
      <c r="B967" t="s">
        <v>25</v>
      </c>
      <c r="C967" s="4">
        <v>0.1</v>
      </c>
      <c r="D967" s="8">
        <v>65.989999999999995</v>
      </c>
      <c r="E967" s="4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 s="5">
        <v>0.59</v>
      </c>
      <c r="O967" t="s">
        <v>33</v>
      </c>
      <c r="P967" t="s">
        <v>34</v>
      </c>
      <c r="Q967" t="s">
        <v>1741</v>
      </c>
      <c r="R967" t="s">
        <v>1742</v>
      </c>
      <c r="S967" s="7">
        <v>83843</v>
      </c>
      <c r="T967" s="3">
        <v>42101</v>
      </c>
      <c r="U967" s="3">
        <v>42103</v>
      </c>
      <c r="V967" s="4">
        <v>-88.624800000000008</v>
      </c>
      <c r="W967">
        <v>5</v>
      </c>
      <c r="X967">
        <v>272.86</v>
      </c>
      <c r="Y967" s="7">
        <v>90653</v>
      </c>
    </row>
    <row r="968" spans="1:25" ht="12.75" customHeight="1">
      <c r="A968">
        <v>566</v>
      </c>
      <c r="B968" t="s">
        <v>37</v>
      </c>
      <c r="C968" s="4">
        <v>0.02</v>
      </c>
      <c r="D968" s="8">
        <v>60.98</v>
      </c>
      <c r="E968" s="4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 s="5">
        <v>0.59</v>
      </c>
      <c r="O968" t="s">
        <v>33</v>
      </c>
      <c r="P968" t="s">
        <v>53</v>
      </c>
      <c r="Q968" t="s">
        <v>1008</v>
      </c>
      <c r="R968" t="s">
        <v>35</v>
      </c>
      <c r="S968" s="7">
        <v>20012</v>
      </c>
      <c r="T968" s="3">
        <v>42098</v>
      </c>
      <c r="U968" s="3">
        <v>42100</v>
      </c>
      <c r="V968" s="4">
        <v>-662.52</v>
      </c>
      <c r="W968">
        <v>34</v>
      </c>
      <c r="X968">
        <v>2119.54</v>
      </c>
      <c r="Y968" s="7">
        <v>3841</v>
      </c>
    </row>
    <row r="969" spans="1:25" ht="12.75" customHeight="1">
      <c r="A969">
        <v>567</v>
      </c>
      <c r="B969" t="s">
        <v>37</v>
      </c>
      <c r="C969" s="4">
        <v>0.02</v>
      </c>
      <c r="D969" s="8">
        <v>1270.99</v>
      </c>
      <c r="E969" s="4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 s="5">
        <v>0.35</v>
      </c>
      <c r="O969" t="s">
        <v>33</v>
      </c>
      <c r="P969" t="s">
        <v>53</v>
      </c>
      <c r="Q969" t="s">
        <v>1008</v>
      </c>
      <c r="R969" t="s">
        <v>35</v>
      </c>
      <c r="S969" s="7">
        <v>20012</v>
      </c>
      <c r="T969" s="3">
        <v>42098</v>
      </c>
      <c r="U969" s="3">
        <v>42100</v>
      </c>
      <c r="V969" s="4">
        <v>9228.2255999999998</v>
      </c>
      <c r="W969">
        <v>36</v>
      </c>
      <c r="X969">
        <v>45737.33</v>
      </c>
      <c r="Y969" s="7">
        <v>3841</v>
      </c>
    </row>
    <row r="970" spans="1:25" ht="12.75" customHeight="1">
      <c r="A970">
        <v>8389</v>
      </c>
      <c r="B970" t="s">
        <v>25</v>
      </c>
      <c r="C970" s="4">
        <v>0.02</v>
      </c>
      <c r="D970" s="8">
        <v>30.98</v>
      </c>
      <c r="E970" s="4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 s="5">
        <v>0.4</v>
      </c>
      <c r="O970" t="s">
        <v>33</v>
      </c>
      <c r="P970" t="s">
        <v>53</v>
      </c>
      <c r="Q970" t="s">
        <v>1008</v>
      </c>
      <c r="R970" t="s">
        <v>35</v>
      </c>
      <c r="S970" s="7">
        <v>20012</v>
      </c>
      <c r="T970" s="3">
        <v>42183</v>
      </c>
      <c r="U970" s="3">
        <v>42184</v>
      </c>
      <c r="V970" s="4">
        <v>-32.28</v>
      </c>
      <c r="W970">
        <v>13</v>
      </c>
      <c r="X970">
        <v>438.25</v>
      </c>
      <c r="Y970" s="7">
        <v>59937</v>
      </c>
    </row>
    <row r="971" spans="1:25" ht="12.75" customHeight="1">
      <c r="A971">
        <v>18566</v>
      </c>
      <c r="B971" t="s">
        <v>37</v>
      </c>
      <c r="C971" s="4">
        <v>0.02</v>
      </c>
      <c r="D971" s="8">
        <v>60.98</v>
      </c>
      <c r="E971" s="4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 s="5">
        <v>0.59</v>
      </c>
      <c r="O971" t="s">
        <v>33</v>
      </c>
      <c r="P971" t="s">
        <v>53</v>
      </c>
      <c r="Q971" t="s">
        <v>71</v>
      </c>
      <c r="R971" t="s">
        <v>1746</v>
      </c>
      <c r="S971" s="7">
        <v>10528</v>
      </c>
      <c r="T971" s="3">
        <v>42098</v>
      </c>
      <c r="U971" s="3">
        <v>42100</v>
      </c>
      <c r="V971" s="4">
        <v>-596.26800000000003</v>
      </c>
      <c r="W971">
        <v>9</v>
      </c>
      <c r="X971">
        <v>561.05999999999995</v>
      </c>
      <c r="Y971" s="7">
        <v>88443</v>
      </c>
    </row>
    <row r="972" spans="1:25" ht="12.75" customHeight="1">
      <c r="A972">
        <v>18567</v>
      </c>
      <c r="B972" t="s">
        <v>37</v>
      </c>
      <c r="C972" s="4">
        <v>0.02</v>
      </c>
      <c r="D972" s="8">
        <v>1270.99</v>
      </c>
      <c r="E972" s="4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 s="5">
        <v>0.35</v>
      </c>
      <c r="O972" t="s">
        <v>33</v>
      </c>
      <c r="P972" t="s">
        <v>53</v>
      </c>
      <c r="Q972" t="s">
        <v>71</v>
      </c>
      <c r="R972" t="s">
        <v>1746</v>
      </c>
      <c r="S972" s="7">
        <v>10528</v>
      </c>
      <c r="T972" s="3">
        <v>42098</v>
      </c>
      <c r="U972" s="3">
        <v>42100</v>
      </c>
      <c r="V972" s="4">
        <v>7889.6876999999995</v>
      </c>
      <c r="W972">
        <v>9</v>
      </c>
      <c r="X972">
        <v>11434.33</v>
      </c>
      <c r="Y972" s="7">
        <v>88443</v>
      </c>
    </row>
    <row r="973" spans="1:25" ht="12.75" customHeight="1">
      <c r="A973">
        <v>18568</v>
      </c>
      <c r="B973" t="s">
        <v>37</v>
      </c>
      <c r="C973" s="4">
        <v>0.05</v>
      </c>
      <c r="D973" s="8">
        <v>205.99</v>
      </c>
      <c r="E973" s="4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 s="5">
        <v>0.6</v>
      </c>
      <c r="O973" t="s">
        <v>33</v>
      </c>
      <c r="P973" t="s">
        <v>53</v>
      </c>
      <c r="Q973" t="s">
        <v>71</v>
      </c>
      <c r="R973" t="s">
        <v>1746</v>
      </c>
      <c r="S973" s="7">
        <v>10528</v>
      </c>
      <c r="T973" s="3">
        <v>42098</v>
      </c>
      <c r="U973" s="3">
        <v>42100</v>
      </c>
      <c r="V973" s="4">
        <v>1545.8097600000001</v>
      </c>
      <c r="W973">
        <v>19</v>
      </c>
      <c r="X973">
        <v>3229.24</v>
      </c>
      <c r="Y973" s="7">
        <v>88443</v>
      </c>
    </row>
    <row r="974" spans="1:25" ht="12.75" customHeight="1">
      <c r="A974">
        <v>26389</v>
      </c>
      <c r="B974" t="s">
        <v>25</v>
      </c>
      <c r="C974" s="4">
        <v>0.02</v>
      </c>
      <c r="D974" s="8">
        <v>30.98</v>
      </c>
      <c r="E974" s="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 s="5">
        <v>0.4</v>
      </c>
      <c r="O974" t="s">
        <v>33</v>
      </c>
      <c r="P974" t="s">
        <v>53</v>
      </c>
      <c r="Q974" t="s">
        <v>71</v>
      </c>
      <c r="R974" t="s">
        <v>1748</v>
      </c>
      <c r="S974" s="7">
        <v>11550</v>
      </c>
      <c r="T974" s="3">
        <v>42183</v>
      </c>
      <c r="U974" s="3">
        <v>42184</v>
      </c>
      <c r="V974" s="4">
        <v>-16.14</v>
      </c>
      <c r="W974">
        <v>3</v>
      </c>
      <c r="X974">
        <v>101.13</v>
      </c>
      <c r="Y974" s="7">
        <v>88444</v>
      </c>
    </row>
    <row r="975" spans="1:25" ht="12.75" customHeight="1">
      <c r="A975">
        <v>18012</v>
      </c>
      <c r="B975" t="s">
        <v>37</v>
      </c>
      <c r="C975" s="4">
        <v>0.09</v>
      </c>
      <c r="D975" s="8">
        <v>30.93</v>
      </c>
      <c r="E975" s="4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 s="5">
        <v>0.44</v>
      </c>
      <c r="O975" t="s">
        <v>33</v>
      </c>
      <c r="P975" t="s">
        <v>136</v>
      </c>
      <c r="Q975" t="s">
        <v>322</v>
      </c>
      <c r="R975" t="s">
        <v>1724</v>
      </c>
      <c r="S975" s="7">
        <v>27529</v>
      </c>
      <c r="T975" s="3">
        <v>42158</v>
      </c>
      <c r="U975" s="3">
        <v>42160</v>
      </c>
      <c r="V975" s="4">
        <v>-130.42400000000001</v>
      </c>
      <c r="W975">
        <v>16</v>
      </c>
      <c r="X975">
        <v>451.83</v>
      </c>
      <c r="Y975" s="7">
        <v>85866</v>
      </c>
    </row>
    <row r="976" spans="1:25" ht="12.75" customHeight="1">
      <c r="A976">
        <v>18013</v>
      </c>
      <c r="B976" t="s">
        <v>37</v>
      </c>
      <c r="C976" s="4">
        <v>0.03</v>
      </c>
      <c r="D976" s="8">
        <v>1.68</v>
      </c>
      <c r="E976" s="4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 s="5">
        <v>0.6</v>
      </c>
      <c r="O976" t="s">
        <v>33</v>
      </c>
      <c r="P976" t="s">
        <v>136</v>
      </c>
      <c r="Q976" t="s">
        <v>322</v>
      </c>
      <c r="R976" t="s">
        <v>1724</v>
      </c>
      <c r="S976" s="7">
        <v>27529</v>
      </c>
      <c r="T976" s="3">
        <v>42158</v>
      </c>
      <c r="U976" s="3">
        <v>42160</v>
      </c>
      <c r="V976" s="4">
        <v>-106.42100000000001</v>
      </c>
      <c r="W976">
        <v>11</v>
      </c>
      <c r="X976">
        <v>20.239999999999998</v>
      </c>
      <c r="Y976" s="7">
        <v>85866</v>
      </c>
    </row>
    <row r="977" spans="1:25" ht="12.75" customHeight="1">
      <c r="A977">
        <v>18306</v>
      </c>
      <c r="B977" t="s">
        <v>56</v>
      </c>
      <c r="C977" s="4">
        <v>0.08</v>
      </c>
      <c r="D977" s="8">
        <v>175.99</v>
      </c>
      <c r="E977" s="4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 s="5">
        <v>0.59</v>
      </c>
      <c r="O977" t="s">
        <v>33</v>
      </c>
      <c r="P977" t="s">
        <v>136</v>
      </c>
      <c r="Q977" t="s">
        <v>322</v>
      </c>
      <c r="R977" t="s">
        <v>1753</v>
      </c>
      <c r="S977" s="7">
        <v>28052</v>
      </c>
      <c r="T977" s="3">
        <v>42091</v>
      </c>
      <c r="U977" s="3">
        <v>42091</v>
      </c>
      <c r="V977" s="4">
        <v>-16476.838</v>
      </c>
      <c r="W977">
        <v>10</v>
      </c>
      <c r="X977">
        <v>1486.34</v>
      </c>
      <c r="Y977" s="7">
        <v>85865</v>
      </c>
    </row>
    <row r="978" spans="1:25" ht="12.75" customHeight="1">
      <c r="A978">
        <v>18804</v>
      </c>
      <c r="B978" t="s">
        <v>106</v>
      </c>
      <c r="C978" s="4">
        <v>0.04</v>
      </c>
      <c r="D978" s="8">
        <v>35.44</v>
      </c>
      <c r="E978" s="4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 s="5">
        <v>0.38</v>
      </c>
      <c r="O978" t="s">
        <v>33</v>
      </c>
      <c r="P978" t="s">
        <v>136</v>
      </c>
      <c r="Q978" t="s">
        <v>322</v>
      </c>
      <c r="R978" t="s">
        <v>1753</v>
      </c>
      <c r="S978" s="7">
        <v>28052</v>
      </c>
      <c r="T978" s="3">
        <v>42169</v>
      </c>
      <c r="U978" s="3">
        <v>42176</v>
      </c>
      <c r="V978" s="4">
        <v>-108.27250000000001</v>
      </c>
      <c r="W978">
        <v>11</v>
      </c>
      <c r="X978">
        <v>406.26</v>
      </c>
      <c r="Y978" s="7">
        <v>85868</v>
      </c>
    </row>
    <row r="979" spans="1:25" ht="12.75" customHeight="1">
      <c r="A979">
        <v>22593</v>
      </c>
      <c r="B979" t="s">
        <v>25</v>
      </c>
      <c r="C979" s="4">
        <v>0.09</v>
      </c>
      <c r="D979" s="8">
        <v>349.45</v>
      </c>
      <c r="E979" s="4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 s="7">
        <v>27534</v>
      </c>
      <c r="T979" s="3">
        <v>42127</v>
      </c>
      <c r="U979" s="3">
        <v>42128</v>
      </c>
      <c r="V979" s="4">
        <v>-90.74799999999999</v>
      </c>
      <c r="W979">
        <v>17</v>
      </c>
      <c r="X979">
        <v>5835.41</v>
      </c>
      <c r="Y979" s="7">
        <v>85867</v>
      </c>
    </row>
    <row r="980" spans="1:25" ht="12.75" customHeight="1">
      <c r="A980">
        <v>20591</v>
      </c>
      <c r="B980" t="s">
        <v>56</v>
      </c>
      <c r="C980" s="4">
        <v>0</v>
      </c>
      <c r="D980" s="8">
        <v>55.99</v>
      </c>
      <c r="E980" s="4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 s="5">
        <v>0.83</v>
      </c>
      <c r="O980" t="s">
        <v>33</v>
      </c>
      <c r="P980" t="s">
        <v>61</v>
      </c>
      <c r="Q980" t="s">
        <v>130</v>
      </c>
      <c r="R980" t="s">
        <v>1654</v>
      </c>
      <c r="S980" s="7">
        <v>77546</v>
      </c>
      <c r="T980" s="3">
        <v>42047</v>
      </c>
      <c r="U980" s="3">
        <v>42049</v>
      </c>
      <c r="V980" s="4">
        <v>-121.05807999999999</v>
      </c>
      <c r="W980">
        <v>1</v>
      </c>
      <c r="X980">
        <v>52.1</v>
      </c>
      <c r="Y980" s="7">
        <v>91025</v>
      </c>
    </row>
    <row r="981" spans="1:25" ht="12.75" customHeight="1">
      <c r="A981">
        <v>2571</v>
      </c>
      <c r="B981" t="s">
        <v>37</v>
      </c>
      <c r="C981" s="4">
        <v>0.02</v>
      </c>
      <c r="D981" s="8">
        <v>4.13</v>
      </c>
      <c r="E981" s="4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 s="5">
        <v>0.39</v>
      </c>
      <c r="O981" t="s">
        <v>33</v>
      </c>
      <c r="P981" t="s">
        <v>136</v>
      </c>
      <c r="Q981" t="s">
        <v>387</v>
      </c>
      <c r="R981" t="s">
        <v>580</v>
      </c>
      <c r="S981" s="7">
        <v>30305</v>
      </c>
      <c r="T981" s="3">
        <v>42013</v>
      </c>
      <c r="U981" s="3">
        <v>42014</v>
      </c>
      <c r="V981" s="4">
        <v>-51.736999999999995</v>
      </c>
      <c r="W981">
        <v>9</v>
      </c>
      <c r="X981">
        <v>45.87</v>
      </c>
      <c r="Y981" s="7">
        <v>18561</v>
      </c>
    </row>
    <row r="982" spans="1:25" ht="12.75" customHeight="1">
      <c r="A982">
        <v>1863</v>
      </c>
      <c r="B982" t="s">
        <v>106</v>
      </c>
      <c r="C982" s="4">
        <v>0.04</v>
      </c>
      <c r="D982" s="8">
        <v>60.65</v>
      </c>
      <c r="E982" s="4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 s="5">
        <v>0.64</v>
      </c>
      <c r="O982" t="s">
        <v>33</v>
      </c>
      <c r="P982" t="s">
        <v>136</v>
      </c>
      <c r="Q982" t="s">
        <v>387</v>
      </c>
      <c r="R982" t="s">
        <v>580</v>
      </c>
      <c r="S982" s="7">
        <v>30305</v>
      </c>
      <c r="T982" s="3">
        <v>42049</v>
      </c>
      <c r="U982" s="3">
        <v>42051</v>
      </c>
      <c r="V982" s="4">
        <v>116.50629999999998</v>
      </c>
      <c r="W982">
        <v>4</v>
      </c>
      <c r="X982">
        <v>256.77</v>
      </c>
      <c r="Y982" s="7">
        <v>13408</v>
      </c>
    </row>
    <row r="983" spans="1:25" ht="12.75" customHeight="1">
      <c r="A983">
        <v>1692</v>
      </c>
      <c r="B983" t="s">
        <v>25</v>
      </c>
      <c r="C983" s="4">
        <v>0.04</v>
      </c>
      <c r="D983" s="8">
        <v>124.49</v>
      </c>
      <c r="E983" s="4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 s="5">
        <v>0.63</v>
      </c>
      <c r="O983" t="s">
        <v>33</v>
      </c>
      <c r="P983" t="s">
        <v>136</v>
      </c>
      <c r="Q983" t="s">
        <v>387</v>
      </c>
      <c r="R983" t="s">
        <v>580</v>
      </c>
      <c r="S983" s="7">
        <v>30305</v>
      </c>
      <c r="T983" s="3">
        <v>42167</v>
      </c>
      <c r="U983" s="3">
        <v>42169</v>
      </c>
      <c r="V983" s="4">
        <v>-247.55157000000003</v>
      </c>
      <c r="W983">
        <v>4</v>
      </c>
      <c r="X983">
        <v>605.82000000000005</v>
      </c>
      <c r="Y983" s="7">
        <v>12224</v>
      </c>
    </row>
    <row r="984" spans="1:25" ht="12.75" customHeight="1">
      <c r="A984">
        <v>1693</v>
      </c>
      <c r="B984" t="s">
        <v>25</v>
      </c>
      <c r="C984" s="4">
        <v>0.1</v>
      </c>
      <c r="D984" s="8">
        <v>35.99</v>
      </c>
      <c r="E984" s="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 s="5">
        <v>0.82</v>
      </c>
      <c r="O984" t="s">
        <v>33</v>
      </c>
      <c r="P984" t="s">
        <v>136</v>
      </c>
      <c r="Q984" t="s">
        <v>387</v>
      </c>
      <c r="R984" t="s">
        <v>580</v>
      </c>
      <c r="S984" s="7">
        <v>30305</v>
      </c>
      <c r="T984" s="3">
        <v>42167</v>
      </c>
      <c r="U984" s="3">
        <v>42167</v>
      </c>
      <c r="V984" s="4">
        <v>-277.20924000000002</v>
      </c>
      <c r="W984">
        <v>54</v>
      </c>
      <c r="X984">
        <v>1569</v>
      </c>
      <c r="Y984" s="7">
        <v>12224</v>
      </c>
    </row>
    <row r="985" spans="1:25" ht="12.75" customHeight="1">
      <c r="A985">
        <v>19692</v>
      </c>
      <c r="B985" t="s">
        <v>25</v>
      </c>
      <c r="C985" s="4">
        <v>0.04</v>
      </c>
      <c r="D985" s="8">
        <v>124.49</v>
      </c>
      <c r="E985" s="4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 s="5">
        <v>0.63</v>
      </c>
      <c r="O985" t="s">
        <v>33</v>
      </c>
      <c r="P985" t="s">
        <v>61</v>
      </c>
      <c r="Q985" t="s">
        <v>304</v>
      </c>
      <c r="R985" t="s">
        <v>1764</v>
      </c>
      <c r="S985" s="7">
        <v>73703</v>
      </c>
      <c r="T985" s="3">
        <v>42167</v>
      </c>
      <c r="U985" s="3">
        <v>42169</v>
      </c>
      <c r="V985" s="4">
        <v>-93.06450000000001</v>
      </c>
      <c r="W985">
        <v>1</v>
      </c>
      <c r="X985">
        <v>151.46</v>
      </c>
      <c r="Y985" s="7">
        <v>87245</v>
      </c>
    </row>
    <row r="986" spans="1:25" ht="12.75" customHeight="1">
      <c r="A986">
        <v>20571</v>
      </c>
      <c r="B986" t="s">
        <v>37</v>
      </c>
      <c r="C986" s="4">
        <v>0.02</v>
      </c>
      <c r="D986" s="8">
        <v>4.13</v>
      </c>
      <c r="E986" s="4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 s="5">
        <v>0.39</v>
      </c>
      <c r="O986" t="s">
        <v>33</v>
      </c>
      <c r="P986" t="s">
        <v>61</v>
      </c>
      <c r="Q986" t="s">
        <v>304</v>
      </c>
      <c r="R986" t="s">
        <v>1766</v>
      </c>
      <c r="S986" s="7">
        <v>73505</v>
      </c>
      <c r="T986" s="3">
        <v>42013</v>
      </c>
      <c r="U986" s="3">
        <v>42014</v>
      </c>
      <c r="V986" s="4">
        <v>-48.235999999999997</v>
      </c>
      <c r="W986">
        <v>2</v>
      </c>
      <c r="X986">
        <v>10.19</v>
      </c>
      <c r="Y986" s="7">
        <v>87243</v>
      </c>
    </row>
    <row r="987" spans="1:25" ht="12.75" customHeight="1">
      <c r="A987">
        <v>19863</v>
      </c>
      <c r="B987" t="s">
        <v>106</v>
      </c>
      <c r="C987" s="4">
        <v>0.04</v>
      </c>
      <c r="D987" s="8">
        <v>60.65</v>
      </c>
      <c r="E987" s="4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 s="5">
        <v>0.64</v>
      </c>
      <c r="O987" t="s">
        <v>33</v>
      </c>
      <c r="P987" t="s">
        <v>61</v>
      </c>
      <c r="Q987" t="s">
        <v>304</v>
      </c>
      <c r="R987" t="s">
        <v>1766</v>
      </c>
      <c r="S987" s="7">
        <v>73505</v>
      </c>
      <c r="T987" s="3">
        <v>42049</v>
      </c>
      <c r="U987" s="3">
        <v>42051</v>
      </c>
      <c r="V987" s="4">
        <v>44.291099999999993</v>
      </c>
      <c r="W987">
        <v>1</v>
      </c>
      <c r="X987">
        <v>64.19</v>
      </c>
      <c r="Y987" s="7">
        <v>87244</v>
      </c>
    </row>
    <row r="988" spans="1:25" ht="12.75" customHeight="1">
      <c r="A988">
        <v>19477</v>
      </c>
      <c r="B988" t="s">
        <v>106</v>
      </c>
      <c r="C988" s="4">
        <v>0.04</v>
      </c>
      <c r="D988" s="8">
        <v>8.5</v>
      </c>
      <c r="E988" s="4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 s="5">
        <v>0.49</v>
      </c>
      <c r="O988" t="s">
        <v>33</v>
      </c>
      <c r="P988" t="s">
        <v>34</v>
      </c>
      <c r="Q988" t="s">
        <v>45</v>
      </c>
      <c r="R988" t="s">
        <v>1768</v>
      </c>
      <c r="S988" s="7">
        <v>90503</v>
      </c>
      <c r="T988" s="3">
        <v>42062</v>
      </c>
      <c r="U988" s="3">
        <v>42063</v>
      </c>
      <c r="V988" s="4">
        <v>43.275199999999998</v>
      </c>
      <c r="W988">
        <v>14</v>
      </c>
      <c r="X988">
        <v>118.57</v>
      </c>
      <c r="Y988" s="7">
        <v>90178</v>
      </c>
    </row>
    <row r="989" spans="1:25" ht="12.75" customHeight="1">
      <c r="A989">
        <v>19478</v>
      </c>
      <c r="B989" t="s">
        <v>106</v>
      </c>
      <c r="C989" s="4">
        <v>0.1</v>
      </c>
      <c r="D989" s="8">
        <v>15.99</v>
      </c>
      <c r="E989" s="4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 s="5">
        <v>0.49</v>
      </c>
      <c r="O989" t="s">
        <v>33</v>
      </c>
      <c r="P989" t="s">
        <v>34</v>
      </c>
      <c r="Q989" t="s">
        <v>45</v>
      </c>
      <c r="R989" t="s">
        <v>1768</v>
      </c>
      <c r="S989" s="7">
        <v>90503</v>
      </c>
      <c r="T989" s="3">
        <v>42062</v>
      </c>
      <c r="U989" s="3">
        <v>42062</v>
      </c>
      <c r="V989" s="4">
        <v>-36.214620000000004</v>
      </c>
      <c r="W989">
        <v>5</v>
      </c>
      <c r="X989">
        <v>79.47</v>
      </c>
      <c r="Y989" s="7">
        <v>90178</v>
      </c>
    </row>
    <row r="990" spans="1:25" ht="12.75" customHeight="1">
      <c r="A990">
        <v>19479</v>
      </c>
      <c r="B990" t="s">
        <v>106</v>
      </c>
      <c r="C990" s="4">
        <v>0.09</v>
      </c>
      <c r="D990" s="8">
        <v>95.99</v>
      </c>
      <c r="E990" s="4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 s="5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 s="7">
        <v>90503</v>
      </c>
      <c r="T990" s="3">
        <v>42062</v>
      </c>
      <c r="U990" s="3">
        <v>42066</v>
      </c>
      <c r="V990" s="4">
        <v>7.032960000000001</v>
      </c>
      <c r="W990">
        <v>8</v>
      </c>
      <c r="X990">
        <v>627.28</v>
      </c>
      <c r="Y990" s="7">
        <v>90178</v>
      </c>
    </row>
    <row r="991" spans="1:25" ht="12.75" customHeight="1">
      <c r="A991">
        <v>25920</v>
      </c>
      <c r="B991" t="s">
        <v>25</v>
      </c>
      <c r="C991" s="4">
        <v>0</v>
      </c>
      <c r="D991" s="8">
        <v>115.99</v>
      </c>
      <c r="E991" s="4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 s="5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 s="7">
        <v>34698</v>
      </c>
      <c r="T991" s="3">
        <v>42026</v>
      </c>
      <c r="U991" s="3">
        <v>42026</v>
      </c>
      <c r="V991" s="4">
        <v>-16.772000000000002</v>
      </c>
      <c r="W991">
        <v>11</v>
      </c>
      <c r="X991">
        <v>1160.42</v>
      </c>
      <c r="Y991" s="7">
        <v>89775</v>
      </c>
    </row>
    <row r="992" spans="1:25" ht="12.75" customHeight="1">
      <c r="A992">
        <v>25608</v>
      </c>
      <c r="B992" t="s">
        <v>25</v>
      </c>
      <c r="C992" s="4">
        <v>0.06</v>
      </c>
      <c r="D992" s="8">
        <v>19.98</v>
      </c>
      <c r="E992" s="4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 s="5">
        <v>0.49</v>
      </c>
      <c r="O992" t="s">
        <v>33</v>
      </c>
      <c r="P992" t="s">
        <v>136</v>
      </c>
      <c r="Q992" t="s">
        <v>362</v>
      </c>
      <c r="R992" t="s">
        <v>1773</v>
      </c>
      <c r="S992" s="7">
        <v>34698</v>
      </c>
      <c r="T992" s="3">
        <v>42064</v>
      </c>
      <c r="U992" s="3">
        <v>42066</v>
      </c>
      <c r="V992" s="4">
        <v>514.17719999999997</v>
      </c>
      <c r="W992">
        <v>5</v>
      </c>
      <c r="X992">
        <v>103.37</v>
      </c>
      <c r="Y992" s="7">
        <v>89776</v>
      </c>
    </row>
    <row r="993" spans="1:25" ht="12.75" customHeight="1">
      <c r="A993">
        <v>25609</v>
      </c>
      <c r="B993" t="s">
        <v>25</v>
      </c>
      <c r="C993" s="4">
        <v>0.08</v>
      </c>
      <c r="D993" s="8">
        <v>1.76</v>
      </c>
      <c r="E993" s="4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 s="5">
        <v>0.41</v>
      </c>
      <c r="O993" t="s">
        <v>33</v>
      </c>
      <c r="P993" t="s">
        <v>136</v>
      </c>
      <c r="Q993" t="s">
        <v>362</v>
      </c>
      <c r="R993" t="s">
        <v>1773</v>
      </c>
      <c r="S993" s="7">
        <v>34698</v>
      </c>
      <c r="T993" s="3">
        <v>42064</v>
      </c>
      <c r="U993" s="3">
        <v>42065</v>
      </c>
      <c r="V993" s="4">
        <v>235.65599999999998</v>
      </c>
      <c r="W993">
        <v>23</v>
      </c>
      <c r="X993">
        <v>40.22</v>
      </c>
      <c r="Y993" s="7">
        <v>89776</v>
      </c>
    </row>
    <row r="994" spans="1:25" ht="12.75" customHeight="1">
      <c r="A994">
        <v>25054</v>
      </c>
      <c r="B994" t="s">
        <v>37</v>
      </c>
      <c r="C994" s="4">
        <v>0</v>
      </c>
      <c r="D994" s="8">
        <v>5.77</v>
      </c>
      <c r="E994" s="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 s="5">
        <v>0.35</v>
      </c>
      <c r="O994" t="s">
        <v>33</v>
      </c>
      <c r="P994" t="s">
        <v>61</v>
      </c>
      <c r="Q994" t="s">
        <v>506</v>
      </c>
      <c r="R994" t="s">
        <v>1778</v>
      </c>
      <c r="S994" s="7">
        <v>63141</v>
      </c>
      <c r="T994" s="3">
        <v>42128</v>
      </c>
      <c r="U994" s="3">
        <v>42129</v>
      </c>
      <c r="V994" s="4">
        <v>3.5581000000000031</v>
      </c>
      <c r="W994">
        <v>8</v>
      </c>
      <c r="X994">
        <v>52.43</v>
      </c>
      <c r="Y994" s="7">
        <v>89777</v>
      </c>
    </row>
    <row r="995" spans="1:25" ht="12.75" customHeight="1">
      <c r="A995">
        <v>20636</v>
      </c>
      <c r="B995" t="s">
        <v>47</v>
      </c>
      <c r="C995" s="4">
        <v>0.01</v>
      </c>
      <c r="D995" s="8">
        <v>50.98</v>
      </c>
      <c r="E995" s="4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 s="5">
        <v>0.73</v>
      </c>
      <c r="O995" t="s">
        <v>33</v>
      </c>
      <c r="P995" t="s">
        <v>136</v>
      </c>
      <c r="Q995" t="s">
        <v>387</v>
      </c>
      <c r="R995" t="s">
        <v>1722</v>
      </c>
      <c r="S995" s="7">
        <v>30265</v>
      </c>
      <c r="T995" s="3">
        <v>42089</v>
      </c>
      <c r="U995" s="3">
        <v>42090</v>
      </c>
      <c r="V995" s="4">
        <v>5.3396999999999997</v>
      </c>
      <c r="W995">
        <v>16</v>
      </c>
      <c r="X995">
        <v>818.49</v>
      </c>
      <c r="Y995" s="7">
        <v>89211</v>
      </c>
    </row>
    <row r="996" spans="1:25" ht="12.75" customHeight="1">
      <c r="A996">
        <v>24894</v>
      </c>
      <c r="B996" t="s">
        <v>56</v>
      </c>
      <c r="C996" s="4">
        <v>7.0000000000000007E-2</v>
      </c>
      <c r="D996" s="8">
        <v>60.98</v>
      </c>
      <c r="E996" s="4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 s="5">
        <v>0.59</v>
      </c>
      <c r="O996" t="s">
        <v>33</v>
      </c>
      <c r="P996" t="s">
        <v>61</v>
      </c>
      <c r="Q996" t="s">
        <v>178</v>
      </c>
      <c r="R996" t="s">
        <v>1614</v>
      </c>
      <c r="S996" s="7">
        <v>61032</v>
      </c>
      <c r="T996" s="3">
        <v>42069</v>
      </c>
      <c r="U996" s="3">
        <v>42070</v>
      </c>
      <c r="V996" s="4">
        <v>-807.89</v>
      </c>
      <c r="W996">
        <v>7</v>
      </c>
      <c r="X996">
        <v>410.17</v>
      </c>
      <c r="Y996" s="7">
        <v>89106</v>
      </c>
    </row>
    <row r="997" spans="1:25" ht="12.75" customHeight="1">
      <c r="A997">
        <v>19826</v>
      </c>
      <c r="B997" t="s">
        <v>106</v>
      </c>
      <c r="C997" s="4">
        <v>0.09</v>
      </c>
      <c r="D997" s="8">
        <v>12.95</v>
      </c>
      <c r="E997" s="4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 s="5">
        <v>0.4</v>
      </c>
      <c r="O997" t="s">
        <v>33</v>
      </c>
      <c r="P997" t="s">
        <v>61</v>
      </c>
      <c r="Q997" t="s">
        <v>703</v>
      </c>
      <c r="R997" t="s">
        <v>1782</v>
      </c>
      <c r="S997" s="7">
        <v>46614</v>
      </c>
      <c r="T997" s="3">
        <v>42169</v>
      </c>
      <c r="U997" s="3">
        <v>42176</v>
      </c>
      <c r="V997" s="4">
        <v>123.89175</v>
      </c>
      <c r="W997">
        <v>21</v>
      </c>
      <c r="X997">
        <v>269.54000000000002</v>
      </c>
      <c r="Y997" s="7">
        <v>89944</v>
      </c>
    </row>
    <row r="998" spans="1:25" ht="12.75" customHeight="1">
      <c r="A998">
        <v>20278</v>
      </c>
      <c r="B998" t="s">
        <v>37</v>
      </c>
      <c r="C998" s="4">
        <v>0.08</v>
      </c>
      <c r="D998" s="8">
        <v>5.78</v>
      </c>
      <c r="E998" s="4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 s="5">
        <v>0.36</v>
      </c>
      <c r="O998" t="s">
        <v>33</v>
      </c>
      <c r="P998" t="s">
        <v>61</v>
      </c>
      <c r="Q998" t="s">
        <v>703</v>
      </c>
      <c r="R998" t="s">
        <v>1784</v>
      </c>
      <c r="S998" s="7">
        <v>47802</v>
      </c>
      <c r="T998" s="3">
        <v>42039</v>
      </c>
      <c r="U998" s="3">
        <v>42040</v>
      </c>
      <c r="V998" s="4">
        <v>-53.898000000000003</v>
      </c>
      <c r="W998">
        <v>19</v>
      </c>
      <c r="X998">
        <v>106.57</v>
      </c>
      <c r="Y998" s="7">
        <v>89941</v>
      </c>
    </row>
    <row r="999" spans="1:25" ht="12.75" customHeight="1">
      <c r="A999">
        <v>20391</v>
      </c>
      <c r="B999" t="s">
        <v>106</v>
      </c>
      <c r="C999" s="4">
        <v>7.0000000000000007E-2</v>
      </c>
      <c r="D999" s="8">
        <v>5.43</v>
      </c>
      <c r="E999" s="4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 s="5">
        <v>0.36</v>
      </c>
      <c r="O999" t="s">
        <v>33</v>
      </c>
      <c r="P999" t="s">
        <v>61</v>
      </c>
      <c r="Q999" t="s">
        <v>703</v>
      </c>
      <c r="R999" t="s">
        <v>1786</v>
      </c>
      <c r="S999" s="7">
        <v>46383</v>
      </c>
      <c r="T999" s="3">
        <v>42116</v>
      </c>
      <c r="U999" s="3">
        <v>42120</v>
      </c>
      <c r="V999" s="4">
        <v>26.502899999999997</v>
      </c>
      <c r="W999">
        <v>7</v>
      </c>
      <c r="X999">
        <v>38.409999999999997</v>
      </c>
      <c r="Y999" s="7">
        <v>89939</v>
      </c>
    </row>
    <row r="1000" spans="1:25" ht="12.75" customHeight="1">
      <c r="A1000">
        <v>21163</v>
      </c>
      <c r="B1000" t="s">
        <v>106</v>
      </c>
      <c r="C1000" s="4">
        <v>0.02</v>
      </c>
      <c r="D1000" s="8">
        <v>10.06</v>
      </c>
      <c r="E1000" s="4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 s="5">
        <v>0.39</v>
      </c>
      <c r="O1000" t="s">
        <v>33</v>
      </c>
      <c r="P1000" t="s">
        <v>61</v>
      </c>
      <c r="Q1000" t="s">
        <v>703</v>
      </c>
      <c r="R1000" t="s">
        <v>1786</v>
      </c>
      <c r="S1000" s="7">
        <v>46383</v>
      </c>
      <c r="T1000" s="3">
        <v>42007</v>
      </c>
      <c r="U1000" s="3">
        <v>42012</v>
      </c>
      <c r="V1000" s="4">
        <v>90.624600000000001</v>
      </c>
      <c r="W1000">
        <v>13</v>
      </c>
      <c r="X1000">
        <v>131.34</v>
      </c>
      <c r="Y1000" s="7">
        <v>89940</v>
      </c>
    </row>
    <row r="1001" spans="1:25" ht="12.75" customHeight="1">
      <c r="A1001">
        <v>20600</v>
      </c>
      <c r="B1001" t="s">
        <v>37</v>
      </c>
      <c r="C1001" s="4">
        <v>0.03</v>
      </c>
      <c r="D1001" s="8">
        <v>19.989999999999998</v>
      </c>
      <c r="E1001" s="4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 s="5">
        <v>0.6</v>
      </c>
      <c r="O1001" t="s">
        <v>33</v>
      </c>
      <c r="P1001" t="s">
        <v>61</v>
      </c>
      <c r="Q1001" t="s">
        <v>703</v>
      </c>
      <c r="R1001" t="s">
        <v>1786</v>
      </c>
      <c r="S1001" s="7">
        <v>46383</v>
      </c>
      <c r="T1001" s="3">
        <v>42096</v>
      </c>
      <c r="U1001" s="3">
        <v>42097</v>
      </c>
      <c r="V1001" s="4">
        <v>-20.876399999999997</v>
      </c>
      <c r="W1001">
        <v>12</v>
      </c>
      <c r="X1001">
        <v>251.61</v>
      </c>
      <c r="Y1001" s="7">
        <v>89942</v>
      </c>
    </row>
    <row r="1002" spans="1:25" ht="12.75" customHeight="1">
      <c r="A1002">
        <v>25498</v>
      </c>
      <c r="B1002" t="s">
        <v>25</v>
      </c>
      <c r="C1002" s="4">
        <v>0.06</v>
      </c>
      <c r="D1002" s="8">
        <v>13.99</v>
      </c>
      <c r="E1002" s="4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 s="5">
        <v>0.39</v>
      </c>
      <c r="O1002" t="s">
        <v>33</v>
      </c>
      <c r="P1002" t="s">
        <v>61</v>
      </c>
      <c r="Q1002" t="s">
        <v>703</v>
      </c>
      <c r="R1002" t="s">
        <v>1788</v>
      </c>
      <c r="S1002" s="7">
        <v>47906</v>
      </c>
      <c r="T1002" s="3">
        <v>42134</v>
      </c>
      <c r="U1002" s="3">
        <v>42136</v>
      </c>
      <c r="V1002" s="4">
        <v>6.4832400000000021</v>
      </c>
      <c r="W1002">
        <v>21</v>
      </c>
      <c r="X1002">
        <v>287.99</v>
      </c>
      <c r="Y1002" s="7">
        <v>89943</v>
      </c>
    </row>
    <row r="1003" spans="1:25" ht="12.75" customHeight="1">
      <c r="A1003">
        <v>25499</v>
      </c>
      <c r="B1003" t="s">
        <v>25</v>
      </c>
      <c r="C1003" s="4">
        <v>0.06</v>
      </c>
      <c r="D1003" s="8">
        <v>15.04</v>
      </c>
      <c r="E1003" s="4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 s="5">
        <v>0.39</v>
      </c>
      <c r="O1003" t="s">
        <v>33</v>
      </c>
      <c r="P1003" t="s">
        <v>61</v>
      </c>
      <c r="Q1003" t="s">
        <v>703</v>
      </c>
      <c r="R1003" t="s">
        <v>1788</v>
      </c>
      <c r="S1003" s="7">
        <v>47906</v>
      </c>
      <c r="T1003" s="3">
        <v>42134</v>
      </c>
      <c r="U1003" s="3">
        <v>42134</v>
      </c>
      <c r="V1003" s="4">
        <v>2.3320000000000003</v>
      </c>
      <c r="W1003">
        <v>3</v>
      </c>
      <c r="X1003">
        <v>46.86</v>
      </c>
      <c r="Y1003" s="7">
        <v>89943</v>
      </c>
    </row>
    <row r="1004" spans="1:25" ht="12.75" customHeight="1">
      <c r="A1004">
        <v>19237</v>
      </c>
      <c r="B1004" t="s">
        <v>25</v>
      </c>
      <c r="C1004" s="4">
        <v>0</v>
      </c>
      <c r="D1004" s="8">
        <v>55.48</v>
      </c>
      <c r="E1004" s="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 s="5">
        <v>0.37</v>
      </c>
      <c r="O1004" t="s">
        <v>33</v>
      </c>
      <c r="P1004" t="s">
        <v>34</v>
      </c>
      <c r="Q1004" t="s">
        <v>45</v>
      </c>
      <c r="R1004" t="s">
        <v>1790</v>
      </c>
      <c r="S1004" s="7">
        <v>94070</v>
      </c>
      <c r="T1004" s="3">
        <v>42167</v>
      </c>
      <c r="U1004" s="3">
        <v>42169</v>
      </c>
      <c r="V1004" s="4">
        <v>454.44779999999997</v>
      </c>
      <c r="W1004">
        <v>11</v>
      </c>
      <c r="X1004">
        <v>658.62</v>
      </c>
      <c r="Y1004" s="7">
        <v>89857</v>
      </c>
    </row>
    <row r="1005" spans="1:25" ht="12.75" customHeight="1">
      <c r="A1005">
        <v>19419</v>
      </c>
      <c r="B1005" t="s">
        <v>106</v>
      </c>
      <c r="C1005" s="4">
        <v>0.03</v>
      </c>
      <c r="D1005" s="8">
        <v>5.08</v>
      </c>
      <c r="E1005" s="4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 s="5">
        <v>0.51</v>
      </c>
      <c r="O1005" t="s">
        <v>33</v>
      </c>
      <c r="P1005" t="s">
        <v>34</v>
      </c>
      <c r="Q1005" t="s">
        <v>45</v>
      </c>
      <c r="R1005" t="s">
        <v>1790</v>
      </c>
      <c r="S1005" s="7">
        <v>94070</v>
      </c>
      <c r="T1005" s="3">
        <v>42011</v>
      </c>
      <c r="U1005" s="3">
        <v>42016</v>
      </c>
      <c r="V1005" s="4">
        <v>15.1524</v>
      </c>
      <c r="W1005">
        <v>4</v>
      </c>
      <c r="X1005">
        <v>21.96</v>
      </c>
      <c r="Y1005" s="7">
        <v>89858</v>
      </c>
    </row>
    <row r="1006" spans="1:25" ht="12.75" customHeight="1">
      <c r="A1006">
        <v>21283</v>
      </c>
      <c r="B1006" t="s">
        <v>25</v>
      </c>
      <c r="C1006" s="4">
        <v>0.03</v>
      </c>
      <c r="D1006" s="8">
        <v>3.28</v>
      </c>
      <c r="E1006" s="4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 s="5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 s="7">
        <v>92672</v>
      </c>
      <c r="T1006" s="3">
        <v>42010</v>
      </c>
      <c r="U1006" s="3">
        <v>42012</v>
      </c>
      <c r="V1006" s="4">
        <v>-90.755600000000001</v>
      </c>
      <c r="W1006">
        <v>7</v>
      </c>
      <c r="X1006">
        <v>24.57</v>
      </c>
      <c r="Y1006" s="7">
        <v>89856</v>
      </c>
    </row>
    <row r="1007" spans="1:25" ht="12.75" customHeight="1">
      <c r="A1007">
        <v>23966</v>
      </c>
      <c r="B1007" t="s">
        <v>47</v>
      </c>
      <c r="C1007" s="4">
        <v>0.04</v>
      </c>
      <c r="D1007" s="8">
        <v>205.99</v>
      </c>
      <c r="E1007" s="4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 s="5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 s="7">
        <v>30188</v>
      </c>
      <c r="T1007" s="3">
        <v>42025</v>
      </c>
      <c r="U1007" s="3">
        <v>42026</v>
      </c>
      <c r="V1007" s="4">
        <v>960.98400000000004</v>
      </c>
      <c r="W1007">
        <v>6</v>
      </c>
      <c r="X1007">
        <v>1008.53</v>
      </c>
      <c r="Y1007" s="7">
        <v>88256</v>
      </c>
    </row>
    <row r="1008" spans="1:25" ht="12.75" customHeight="1">
      <c r="A1008">
        <v>21284</v>
      </c>
      <c r="B1008" t="s">
        <v>47</v>
      </c>
      <c r="C1008" s="4">
        <v>0.04</v>
      </c>
      <c r="D1008" s="8">
        <v>880.98</v>
      </c>
      <c r="E1008" s="4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 s="5">
        <v>0.62</v>
      </c>
      <c r="O1008" t="s">
        <v>33</v>
      </c>
      <c r="P1008" t="s">
        <v>61</v>
      </c>
      <c r="Q1008" t="s">
        <v>178</v>
      </c>
      <c r="R1008" t="s">
        <v>1797</v>
      </c>
      <c r="S1008" s="7">
        <v>61401</v>
      </c>
      <c r="T1008" s="3">
        <v>42010</v>
      </c>
      <c r="U1008" s="3">
        <v>42011</v>
      </c>
      <c r="V1008" s="4">
        <v>-13706.464</v>
      </c>
      <c r="W1008">
        <v>8</v>
      </c>
      <c r="X1008">
        <v>6968.9</v>
      </c>
      <c r="Y1008" s="7">
        <v>87853</v>
      </c>
    </row>
    <row r="1009" spans="1:25" ht="12.75" customHeight="1">
      <c r="A1009">
        <v>22986</v>
      </c>
      <c r="B1009" t="s">
        <v>47</v>
      </c>
      <c r="C1009" s="4">
        <v>0.04</v>
      </c>
      <c r="D1009" s="8">
        <v>3.68</v>
      </c>
      <c r="E1009" s="4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 s="5">
        <v>0.83</v>
      </c>
      <c r="O1009" t="s">
        <v>33</v>
      </c>
      <c r="P1009" t="s">
        <v>136</v>
      </c>
      <c r="Q1009" t="s">
        <v>362</v>
      </c>
      <c r="R1009" t="s">
        <v>1773</v>
      </c>
      <c r="S1009" s="7">
        <v>34698</v>
      </c>
      <c r="T1009" s="3">
        <v>42156</v>
      </c>
      <c r="U1009" s="3">
        <v>42157</v>
      </c>
      <c r="V1009" s="4">
        <v>300.92579999999998</v>
      </c>
      <c r="W1009">
        <v>11</v>
      </c>
      <c r="X1009">
        <v>41.29</v>
      </c>
      <c r="Y1009" s="7">
        <v>91543</v>
      </c>
    </row>
    <row r="1010" spans="1:25" ht="12.75" customHeight="1">
      <c r="A1010">
        <v>18901</v>
      </c>
      <c r="B1010" t="s">
        <v>56</v>
      </c>
      <c r="C1010" s="4">
        <v>0.01</v>
      </c>
      <c r="D1010" s="8">
        <v>8.1199999999999992</v>
      </c>
      <c r="E1010" s="4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 s="5">
        <v>0.77</v>
      </c>
      <c r="O1010" t="s">
        <v>33</v>
      </c>
      <c r="P1010" t="s">
        <v>53</v>
      </c>
      <c r="Q1010" t="s">
        <v>648</v>
      </c>
      <c r="R1010" t="s">
        <v>1800</v>
      </c>
      <c r="S1010" s="7">
        <v>26101</v>
      </c>
      <c r="T1010" s="3">
        <v>42080</v>
      </c>
      <c r="U1010" s="3">
        <v>42081</v>
      </c>
      <c r="V1010" s="4">
        <v>-40.76</v>
      </c>
      <c r="W1010">
        <v>10</v>
      </c>
      <c r="X1010">
        <v>88.64</v>
      </c>
      <c r="Y1010" s="7">
        <v>89251</v>
      </c>
    </row>
    <row r="1011" spans="1:25" ht="12.75" customHeight="1">
      <c r="A1011">
        <v>21746</v>
      </c>
      <c r="B1011" t="s">
        <v>37</v>
      </c>
      <c r="C1011" s="4">
        <v>0.09</v>
      </c>
      <c r="D1011" s="8">
        <v>77.510000000000005</v>
      </c>
      <c r="E1011" s="4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 s="5">
        <v>0.76</v>
      </c>
      <c r="O1011" t="s">
        <v>33</v>
      </c>
      <c r="P1011" t="s">
        <v>136</v>
      </c>
      <c r="Q1011" t="s">
        <v>671</v>
      </c>
      <c r="R1011" t="s">
        <v>1803</v>
      </c>
      <c r="S1011" s="7">
        <v>38654</v>
      </c>
      <c r="T1011" s="3">
        <v>42147</v>
      </c>
      <c r="U1011" s="3">
        <v>42149</v>
      </c>
      <c r="V1011" s="4">
        <v>-986.52399999999989</v>
      </c>
      <c r="W1011">
        <v>17</v>
      </c>
      <c r="X1011">
        <v>1300.54</v>
      </c>
      <c r="Y1011" s="7">
        <v>90524</v>
      </c>
    </row>
    <row r="1012" spans="1:25" ht="12.75" customHeight="1">
      <c r="A1012">
        <v>21747</v>
      </c>
      <c r="B1012" t="s">
        <v>37</v>
      </c>
      <c r="C1012" s="4">
        <v>0</v>
      </c>
      <c r="D1012" s="8">
        <v>2.88</v>
      </c>
      <c r="E1012" s="4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 s="5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 s="7">
        <v>38654</v>
      </c>
      <c r="T1012" s="3">
        <v>42147</v>
      </c>
      <c r="U1012" s="3">
        <v>42149</v>
      </c>
      <c r="V1012" s="4">
        <v>-141.666</v>
      </c>
      <c r="W1012">
        <v>13</v>
      </c>
      <c r="X1012">
        <v>38.06</v>
      </c>
      <c r="Y1012" s="7">
        <v>90524</v>
      </c>
    </row>
    <row r="1013" spans="1:25" ht="12.75" customHeight="1">
      <c r="A1013">
        <v>24463</v>
      </c>
      <c r="B1013" t="s">
        <v>56</v>
      </c>
      <c r="C1013" s="4">
        <v>0.06</v>
      </c>
      <c r="D1013" s="8">
        <v>90.97</v>
      </c>
      <c r="E1013" s="4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 s="5">
        <v>0.36</v>
      </c>
      <c r="O1013" t="s">
        <v>33</v>
      </c>
      <c r="P1013" t="s">
        <v>136</v>
      </c>
      <c r="Q1013" t="s">
        <v>671</v>
      </c>
      <c r="R1013" t="s">
        <v>1806</v>
      </c>
      <c r="S1013" s="7">
        <v>39208</v>
      </c>
      <c r="T1013" s="3">
        <v>42046</v>
      </c>
      <c r="U1013" s="3">
        <v>42047</v>
      </c>
      <c r="V1013" s="4">
        <v>47.334000000000003</v>
      </c>
      <c r="W1013">
        <v>14</v>
      </c>
      <c r="X1013">
        <v>1263.3499999999999</v>
      </c>
      <c r="Y1013" s="7">
        <v>90525</v>
      </c>
    </row>
    <row r="1014" spans="1:25" ht="12.75" customHeight="1">
      <c r="A1014">
        <v>22843</v>
      </c>
      <c r="B1014" t="s">
        <v>106</v>
      </c>
      <c r="C1014" s="4">
        <v>0.01</v>
      </c>
      <c r="D1014" s="8">
        <v>10.48</v>
      </c>
      <c r="E1014" s="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 s="5">
        <v>0.6</v>
      </c>
      <c r="O1014" t="s">
        <v>33</v>
      </c>
      <c r="P1014" t="s">
        <v>61</v>
      </c>
      <c r="Q1014" t="s">
        <v>300</v>
      </c>
      <c r="R1014" t="s">
        <v>155</v>
      </c>
      <c r="S1014" s="7">
        <v>48187</v>
      </c>
      <c r="T1014" s="3">
        <v>42040</v>
      </c>
      <c r="U1014" s="3">
        <v>42042</v>
      </c>
      <c r="V1014" s="4">
        <v>60.561599999999999</v>
      </c>
      <c r="W1014">
        <v>19</v>
      </c>
      <c r="X1014">
        <v>202.38</v>
      </c>
      <c r="Y1014" s="7">
        <v>85990</v>
      </c>
    </row>
    <row r="1015" spans="1:25" ht="12.75" customHeight="1">
      <c r="A1015">
        <v>24622</v>
      </c>
      <c r="B1015" t="s">
        <v>37</v>
      </c>
      <c r="C1015" s="4">
        <v>0.06</v>
      </c>
      <c r="D1015" s="8">
        <v>17.98</v>
      </c>
      <c r="E1015" s="4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 s="5">
        <v>0.4</v>
      </c>
      <c r="O1015" t="s">
        <v>33</v>
      </c>
      <c r="P1015" t="s">
        <v>61</v>
      </c>
      <c r="Q1015" t="s">
        <v>300</v>
      </c>
      <c r="R1015" t="s">
        <v>1810</v>
      </c>
      <c r="S1015" s="7">
        <v>48126</v>
      </c>
      <c r="T1015" s="3">
        <v>42109</v>
      </c>
      <c r="U1015" s="3">
        <v>42111</v>
      </c>
      <c r="V1015" s="4">
        <v>-47.243088</v>
      </c>
      <c r="W1015">
        <v>3</v>
      </c>
      <c r="X1015">
        <v>56.38</v>
      </c>
      <c r="Y1015" s="7">
        <v>85991</v>
      </c>
    </row>
    <row r="1016" spans="1:25" ht="12.75" customHeight="1">
      <c r="A1016">
        <v>24623</v>
      </c>
      <c r="B1016" t="s">
        <v>37</v>
      </c>
      <c r="C1016" s="4">
        <v>0.1</v>
      </c>
      <c r="D1016" s="8">
        <v>9.99</v>
      </c>
      <c r="E1016" s="4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 s="5">
        <v>0.4</v>
      </c>
      <c r="O1016" t="s">
        <v>33</v>
      </c>
      <c r="P1016" t="s">
        <v>61</v>
      </c>
      <c r="Q1016" t="s">
        <v>300</v>
      </c>
      <c r="R1016" t="s">
        <v>1810</v>
      </c>
      <c r="S1016" s="7">
        <v>48126</v>
      </c>
      <c r="T1016" s="3">
        <v>42109</v>
      </c>
      <c r="U1016" s="3">
        <v>42112</v>
      </c>
      <c r="V1016" s="4">
        <v>9.1539999999999999</v>
      </c>
      <c r="W1016">
        <v>12</v>
      </c>
      <c r="X1016">
        <v>119.13</v>
      </c>
      <c r="Y1016" s="7">
        <v>85991</v>
      </c>
    </row>
    <row r="1017" spans="1:25" ht="12.75" customHeight="1">
      <c r="A1017">
        <v>4843</v>
      </c>
      <c r="B1017" t="s">
        <v>106</v>
      </c>
      <c r="C1017" s="4">
        <v>0.01</v>
      </c>
      <c r="D1017" s="8">
        <v>10.48</v>
      </c>
      <c r="E1017" s="4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 s="5">
        <v>0.6</v>
      </c>
      <c r="O1017" t="s">
        <v>33</v>
      </c>
      <c r="P1017" t="s">
        <v>53</v>
      </c>
      <c r="Q1017" t="s">
        <v>71</v>
      </c>
      <c r="R1017" t="s">
        <v>90</v>
      </c>
      <c r="S1017" s="7">
        <v>10177</v>
      </c>
      <c r="T1017" s="3">
        <v>42040</v>
      </c>
      <c r="U1017" s="3">
        <v>42042</v>
      </c>
      <c r="V1017" s="4">
        <v>40.92</v>
      </c>
      <c r="W1017">
        <v>76</v>
      </c>
      <c r="X1017">
        <v>809.51</v>
      </c>
      <c r="Y1017" s="7">
        <v>34435</v>
      </c>
    </row>
    <row r="1018" spans="1:25" ht="12.75" customHeight="1">
      <c r="A1018">
        <v>6621</v>
      </c>
      <c r="B1018" t="s">
        <v>37</v>
      </c>
      <c r="C1018" s="4">
        <v>7.0000000000000007E-2</v>
      </c>
      <c r="D1018" s="8">
        <v>18.649999999999999</v>
      </c>
      <c r="E1018" s="4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 s="5">
        <v>0.39</v>
      </c>
      <c r="O1018" t="s">
        <v>33</v>
      </c>
      <c r="P1018" t="s">
        <v>53</v>
      </c>
      <c r="Q1018" t="s">
        <v>71</v>
      </c>
      <c r="R1018" t="s">
        <v>90</v>
      </c>
      <c r="S1018" s="7">
        <v>10177</v>
      </c>
      <c r="T1018" s="3">
        <v>42109</v>
      </c>
      <c r="U1018" s="3">
        <v>42110</v>
      </c>
      <c r="V1018" s="4">
        <v>149.72</v>
      </c>
      <c r="W1018">
        <v>34</v>
      </c>
      <c r="X1018">
        <v>643.64</v>
      </c>
      <c r="Y1018" s="7">
        <v>47108</v>
      </c>
    </row>
    <row r="1019" spans="1:25" ht="12.75" customHeight="1">
      <c r="A1019">
        <v>6622</v>
      </c>
      <c r="B1019" t="s">
        <v>37</v>
      </c>
      <c r="C1019" s="4">
        <v>0.06</v>
      </c>
      <c r="D1019" s="8">
        <v>17.98</v>
      </c>
      <c r="E1019" s="4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 s="5">
        <v>0.4</v>
      </c>
      <c r="O1019" t="s">
        <v>33</v>
      </c>
      <c r="P1019" t="s">
        <v>53</v>
      </c>
      <c r="Q1019" t="s">
        <v>71</v>
      </c>
      <c r="R1019" t="s">
        <v>90</v>
      </c>
      <c r="S1019" s="7">
        <v>10177</v>
      </c>
      <c r="T1019" s="3">
        <v>42109</v>
      </c>
      <c r="U1019" s="3">
        <v>42111</v>
      </c>
      <c r="V1019" s="4">
        <v>-52.492319999999999</v>
      </c>
      <c r="W1019">
        <v>13</v>
      </c>
      <c r="X1019">
        <v>244.31</v>
      </c>
      <c r="Y1019" s="7">
        <v>47108</v>
      </c>
    </row>
    <row r="1020" spans="1:25" ht="12.75" customHeight="1">
      <c r="A1020">
        <v>6623</v>
      </c>
      <c r="B1020" t="s">
        <v>37</v>
      </c>
      <c r="C1020" s="4">
        <v>0.1</v>
      </c>
      <c r="D1020" s="8">
        <v>9.99</v>
      </c>
      <c r="E1020" s="4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 s="5">
        <v>0.4</v>
      </c>
      <c r="O1020" t="s">
        <v>33</v>
      </c>
      <c r="P1020" t="s">
        <v>53</v>
      </c>
      <c r="Q1020" t="s">
        <v>71</v>
      </c>
      <c r="R1020" t="s">
        <v>90</v>
      </c>
      <c r="S1020" s="7">
        <v>10177</v>
      </c>
      <c r="T1020" s="3">
        <v>42109</v>
      </c>
      <c r="U1020" s="3">
        <v>42112</v>
      </c>
      <c r="V1020" s="4">
        <v>7.9599999999999991</v>
      </c>
      <c r="W1020">
        <v>47</v>
      </c>
      <c r="X1020">
        <v>466.58</v>
      </c>
      <c r="Y1020" s="7">
        <v>47108</v>
      </c>
    </row>
    <row r="1021" spans="1:25" ht="12.75" customHeight="1">
      <c r="A1021">
        <v>6624</v>
      </c>
      <c r="B1021" t="s">
        <v>37</v>
      </c>
      <c r="C1021" s="4">
        <v>0.08</v>
      </c>
      <c r="D1021" s="8">
        <v>175.99</v>
      </c>
      <c r="E1021" s="4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 s="5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 s="7">
        <v>10177</v>
      </c>
      <c r="T1021" s="3">
        <v>42109</v>
      </c>
      <c r="U1021" s="3">
        <v>42110</v>
      </c>
      <c r="V1021" s="4">
        <v>-459.08280000000002</v>
      </c>
      <c r="W1021">
        <v>16</v>
      </c>
      <c r="X1021">
        <v>2290.69</v>
      </c>
      <c r="Y1021" s="7">
        <v>47108</v>
      </c>
    </row>
    <row r="1022" spans="1:25" ht="12.75" customHeight="1">
      <c r="A1022">
        <v>19596</v>
      </c>
      <c r="B1022" t="s">
        <v>56</v>
      </c>
      <c r="C1022" s="4">
        <v>0.1</v>
      </c>
      <c r="D1022" s="8">
        <v>52.99</v>
      </c>
      <c r="E1022" s="4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 s="5">
        <v>0.81</v>
      </c>
      <c r="O1022" t="s">
        <v>33</v>
      </c>
      <c r="P1022" t="s">
        <v>61</v>
      </c>
      <c r="Q1022" t="s">
        <v>330</v>
      </c>
      <c r="R1022" t="s">
        <v>1816</v>
      </c>
      <c r="S1022" s="7">
        <v>52722</v>
      </c>
      <c r="T1022" s="3">
        <v>42112</v>
      </c>
      <c r="U1022" s="3">
        <v>42113</v>
      </c>
      <c r="V1022" s="4">
        <v>-517.16999999999996</v>
      </c>
      <c r="W1022">
        <v>7</v>
      </c>
      <c r="X1022">
        <v>337.59</v>
      </c>
      <c r="Y1022" s="7">
        <v>86958</v>
      </c>
    </row>
    <row r="1023" spans="1:25" ht="12.75" customHeight="1">
      <c r="A1023">
        <v>18199</v>
      </c>
      <c r="B1023" t="s">
        <v>56</v>
      </c>
      <c r="C1023" s="4">
        <v>0</v>
      </c>
      <c r="D1023" s="8">
        <v>9.27</v>
      </c>
      <c r="E1023" s="4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 s="5">
        <v>0.38</v>
      </c>
      <c r="O1023" t="s">
        <v>33</v>
      </c>
      <c r="P1023" t="s">
        <v>61</v>
      </c>
      <c r="Q1023" t="s">
        <v>330</v>
      </c>
      <c r="R1023" t="s">
        <v>1816</v>
      </c>
      <c r="S1023" s="7">
        <v>52722</v>
      </c>
      <c r="T1023" s="3">
        <v>42136</v>
      </c>
      <c r="U1023" s="3">
        <v>42138</v>
      </c>
      <c r="V1023" s="4">
        <v>-7.61</v>
      </c>
      <c r="W1023">
        <v>1</v>
      </c>
      <c r="X1023">
        <v>10.65</v>
      </c>
      <c r="Y1023" s="7">
        <v>86959</v>
      </c>
    </row>
    <row r="1024" spans="1:25" ht="12.75" customHeight="1">
      <c r="A1024">
        <v>20551</v>
      </c>
      <c r="B1024" t="s">
        <v>37</v>
      </c>
      <c r="C1024" s="4">
        <v>0</v>
      </c>
      <c r="D1024" s="8">
        <v>5.98</v>
      </c>
      <c r="E1024" s="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 s="5">
        <v>0.6</v>
      </c>
      <c r="O1024" t="s">
        <v>33</v>
      </c>
      <c r="P1024" t="s">
        <v>61</v>
      </c>
      <c r="Q1024" t="s">
        <v>330</v>
      </c>
      <c r="R1024" t="s">
        <v>150</v>
      </c>
      <c r="S1024" s="7">
        <v>52601</v>
      </c>
      <c r="T1024" s="3">
        <v>42054</v>
      </c>
      <c r="U1024" s="3">
        <v>42055</v>
      </c>
      <c r="V1024" s="4">
        <v>38.039699999999996</v>
      </c>
      <c r="W1024">
        <v>9</v>
      </c>
      <c r="X1024">
        <v>55.13</v>
      </c>
      <c r="Y1024" s="7">
        <v>86956</v>
      </c>
    </row>
    <row r="1025" spans="1:25" ht="12.75" customHeight="1">
      <c r="A1025">
        <v>19597</v>
      </c>
      <c r="B1025" t="s">
        <v>56</v>
      </c>
      <c r="C1025" s="4">
        <v>7.0000000000000007E-2</v>
      </c>
      <c r="D1025" s="8">
        <v>100.98</v>
      </c>
      <c r="E1025" s="4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 s="5">
        <v>0.78</v>
      </c>
      <c r="O1025" t="s">
        <v>33</v>
      </c>
      <c r="P1025" t="s">
        <v>61</v>
      </c>
      <c r="Q1025" t="s">
        <v>330</v>
      </c>
      <c r="R1025" t="s">
        <v>150</v>
      </c>
      <c r="S1025" s="7">
        <v>52601</v>
      </c>
      <c r="T1025" s="3">
        <v>42112</v>
      </c>
      <c r="U1025" s="3">
        <v>42115</v>
      </c>
      <c r="V1025" s="4">
        <v>-429.86</v>
      </c>
      <c r="W1025">
        <v>2</v>
      </c>
      <c r="X1025">
        <v>215.32</v>
      </c>
      <c r="Y1025" s="7">
        <v>86958</v>
      </c>
    </row>
    <row r="1026" spans="1:25" ht="12.75" customHeight="1">
      <c r="A1026">
        <v>19598</v>
      </c>
      <c r="B1026" t="s">
        <v>56</v>
      </c>
      <c r="C1026" s="4">
        <v>0.03</v>
      </c>
      <c r="D1026" s="8">
        <v>85.99</v>
      </c>
      <c r="E1026" s="4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 s="5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 s="7">
        <v>52601</v>
      </c>
      <c r="T1026" s="3">
        <v>42112</v>
      </c>
      <c r="U1026" s="3">
        <v>42114</v>
      </c>
      <c r="V1026" s="4">
        <v>264.16649999999998</v>
      </c>
      <c r="W1026">
        <v>5</v>
      </c>
      <c r="X1026">
        <v>382.85</v>
      </c>
      <c r="Y1026" s="7">
        <v>86958</v>
      </c>
    </row>
    <row r="1027" spans="1:25" ht="12.75" customHeight="1">
      <c r="A1027">
        <v>20553</v>
      </c>
      <c r="B1027" t="s">
        <v>37</v>
      </c>
      <c r="C1027" s="4">
        <v>0.02</v>
      </c>
      <c r="D1027" s="8">
        <v>5.98</v>
      </c>
      <c r="E1027" s="4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 s="5">
        <v>0.36</v>
      </c>
      <c r="O1027" t="s">
        <v>33</v>
      </c>
      <c r="P1027" t="s">
        <v>61</v>
      </c>
      <c r="Q1027" t="s">
        <v>330</v>
      </c>
      <c r="R1027" t="s">
        <v>1822</v>
      </c>
      <c r="S1027" s="7">
        <v>50613</v>
      </c>
      <c r="T1027" s="3">
        <v>42054</v>
      </c>
      <c r="U1027" s="3">
        <v>42055</v>
      </c>
      <c r="V1027" s="4">
        <v>-47.12</v>
      </c>
      <c r="W1027">
        <v>7</v>
      </c>
      <c r="X1027">
        <v>44.8</v>
      </c>
      <c r="Y1027" s="7">
        <v>86956</v>
      </c>
    </row>
    <row r="1028" spans="1:25" ht="12.75" customHeight="1">
      <c r="A1028">
        <v>21383</v>
      </c>
      <c r="B1028" t="s">
        <v>106</v>
      </c>
      <c r="C1028" s="4">
        <v>0.05</v>
      </c>
      <c r="D1028" s="8">
        <v>7.1</v>
      </c>
      <c r="E1028" s="4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 s="5">
        <v>0.39</v>
      </c>
      <c r="O1028" t="s">
        <v>33</v>
      </c>
      <c r="P1028" t="s">
        <v>61</v>
      </c>
      <c r="Q1028" t="s">
        <v>330</v>
      </c>
      <c r="R1028" t="s">
        <v>1822</v>
      </c>
      <c r="S1028" s="7">
        <v>50613</v>
      </c>
      <c r="T1028" s="3">
        <v>42010</v>
      </c>
      <c r="U1028" s="3">
        <v>42010</v>
      </c>
      <c r="V1028" s="4">
        <v>-101.24600000000001</v>
      </c>
      <c r="W1028">
        <v>14</v>
      </c>
      <c r="X1028">
        <v>100.99</v>
      </c>
      <c r="Y1028" s="7">
        <v>86960</v>
      </c>
    </row>
    <row r="1029" spans="1:25" ht="12.75" customHeight="1">
      <c r="A1029">
        <v>21384</v>
      </c>
      <c r="B1029" t="s">
        <v>106</v>
      </c>
      <c r="C1029" s="4">
        <v>0.04</v>
      </c>
      <c r="D1029" s="8">
        <v>20.95</v>
      </c>
      <c r="E1029" s="4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 s="5">
        <v>0.6</v>
      </c>
      <c r="O1029" t="s">
        <v>33</v>
      </c>
      <c r="P1029" t="s">
        <v>61</v>
      </c>
      <c r="Q1029" t="s">
        <v>330</v>
      </c>
      <c r="R1029" t="s">
        <v>1822</v>
      </c>
      <c r="S1029" s="7">
        <v>50613</v>
      </c>
      <c r="T1029" s="3">
        <v>42010</v>
      </c>
      <c r="U1029" s="3">
        <v>42015</v>
      </c>
      <c r="V1029" s="4">
        <v>-1.88</v>
      </c>
      <c r="W1029">
        <v>7</v>
      </c>
      <c r="X1029">
        <v>142.06</v>
      </c>
      <c r="Y1029" s="7">
        <v>86960</v>
      </c>
    </row>
    <row r="1030" spans="1:25" ht="12.75" customHeight="1">
      <c r="A1030">
        <v>23430</v>
      </c>
      <c r="B1030" t="s">
        <v>47</v>
      </c>
      <c r="C1030" s="4">
        <v>0.01</v>
      </c>
      <c r="D1030" s="8">
        <v>10.64</v>
      </c>
      <c r="E1030" s="4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 s="5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 s="7">
        <v>52402</v>
      </c>
      <c r="T1030" s="3">
        <v>42088</v>
      </c>
      <c r="U1030" s="3">
        <v>42090</v>
      </c>
      <c r="V1030" s="4">
        <v>-11.69</v>
      </c>
      <c r="W1030">
        <v>5</v>
      </c>
      <c r="X1030">
        <v>58.52</v>
      </c>
      <c r="Y1030" s="7">
        <v>86957</v>
      </c>
    </row>
    <row r="1031" spans="1:25" ht="12.75" customHeight="1">
      <c r="A1031">
        <v>21385</v>
      </c>
      <c r="B1031" t="s">
        <v>106</v>
      </c>
      <c r="C1031" s="4">
        <v>0.05</v>
      </c>
      <c r="D1031" s="8">
        <v>39.06</v>
      </c>
      <c r="E1031" s="4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 s="5">
        <v>0.37</v>
      </c>
      <c r="O1031" t="s">
        <v>33</v>
      </c>
      <c r="P1031" t="s">
        <v>61</v>
      </c>
      <c r="Q1031" t="s">
        <v>330</v>
      </c>
      <c r="R1031" t="s">
        <v>1824</v>
      </c>
      <c r="S1031" s="7">
        <v>52402</v>
      </c>
      <c r="T1031" s="3">
        <v>42010</v>
      </c>
      <c r="U1031" s="3">
        <v>42017</v>
      </c>
      <c r="V1031" s="4">
        <v>250.98059999999998</v>
      </c>
      <c r="W1031">
        <v>9</v>
      </c>
      <c r="X1031">
        <v>363.74</v>
      </c>
      <c r="Y1031" s="7">
        <v>86960</v>
      </c>
    </row>
    <row r="1032" spans="1:25" ht="12.75" customHeight="1">
      <c r="A1032">
        <v>21386</v>
      </c>
      <c r="B1032" t="s">
        <v>106</v>
      </c>
      <c r="C1032" s="4">
        <v>0.04</v>
      </c>
      <c r="D1032" s="8">
        <v>3.52</v>
      </c>
      <c r="E1032" s="4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 s="5">
        <v>0.38</v>
      </c>
      <c r="O1032" t="s">
        <v>33</v>
      </c>
      <c r="P1032" t="s">
        <v>61</v>
      </c>
      <c r="Q1032" t="s">
        <v>330</v>
      </c>
      <c r="R1032" t="s">
        <v>1824</v>
      </c>
      <c r="S1032" s="7">
        <v>52402</v>
      </c>
      <c r="T1032" s="3">
        <v>42010</v>
      </c>
      <c r="U1032" s="3">
        <v>42019</v>
      </c>
      <c r="V1032" s="4">
        <v>-57.753</v>
      </c>
      <c r="W1032">
        <v>4</v>
      </c>
      <c r="X1032">
        <v>15.93</v>
      </c>
      <c r="Y1032" s="7">
        <v>86960</v>
      </c>
    </row>
    <row r="1033" spans="1:25" ht="12.75" customHeight="1">
      <c r="A1033">
        <v>21387</v>
      </c>
      <c r="B1033" t="s">
        <v>106</v>
      </c>
      <c r="C1033" s="4">
        <v>0.02</v>
      </c>
      <c r="D1033" s="8">
        <v>15.51</v>
      </c>
      <c r="E1033" s="4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 s="5">
        <v>0.59</v>
      </c>
      <c r="O1033" t="s">
        <v>33</v>
      </c>
      <c r="P1033" t="s">
        <v>61</v>
      </c>
      <c r="Q1033" t="s">
        <v>330</v>
      </c>
      <c r="R1033" t="s">
        <v>1824</v>
      </c>
      <c r="S1033" s="7">
        <v>52402</v>
      </c>
      <c r="T1033" s="3">
        <v>42010</v>
      </c>
      <c r="U1033" s="3">
        <v>42017</v>
      </c>
      <c r="V1033" s="4">
        <v>-47.97</v>
      </c>
      <c r="W1033">
        <v>1</v>
      </c>
      <c r="X1033">
        <v>21.28</v>
      </c>
      <c r="Y1033" s="7">
        <v>86960</v>
      </c>
    </row>
    <row r="1034" spans="1:25" ht="12.75" customHeight="1">
      <c r="A1034">
        <v>23589</v>
      </c>
      <c r="B1034" t="s">
        <v>25</v>
      </c>
      <c r="C1034" s="4">
        <v>0.01</v>
      </c>
      <c r="D1034" s="8">
        <v>155.99</v>
      </c>
      <c r="E1034" s="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 s="5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 s="7">
        <v>94110</v>
      </c>
      <c r="T1034" s="3">
        <v>42113</v>
      </c>
      <c r="U1034" s="3">
        <v>42114</v>
      </c>
      <c r="V1034" s="4">
        <v>-219.07908</v>
      </c>
      <c r="W1034">
        <v>5</v>
      </c>
      <c r="X1034">
        <v>675.83</v>
      </c>
      <c r="Y1034" s="7">
        <v>86600</v>
      </c>
    </row>
    <row r="1035" spans="1:25" ht="12.75" customHeight="1">
      <c r="A1035">
        <v>23590</v>
      </c>
      <c r="B1035" t="s">
        <v>25</v>
      </c>
      <c r="C1035" s="4">
        <v>0.01</v>
      </c>
      <c r="D1035" s="8">
        <v>5.98</v>
      </c>
      <c r="E1035" s="4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 s="5">
        <v>0.36</v>
      </c>
      <c r="O1035" t="s">
        <v>33</v>
      </c>
      <c r="P1035" t="s">
        <v>34</v>
      </c>
      <c r="Q1035" t="s">
        <v>45</v>
      </c>
      <c r="R1035" t="s">
        <v>46</v>
      </c>
      <c r="S1035" s="7">
        <v>91776</v>
      </c>
      <c r="T1035" s="3">
        <v>42113</v>
      </c>
      <c r="U1035" s="3">
        <v>42115</v>
      </c>
      <c r="V1035" s="4">
        <v>-18.878399999999999</v>
      </c>
      <c r="W1035">
        <v>4</v>
      </c>
      <c r="X1035">
        <v>28</v>
      </c>
      <c r="Y1035" s="7">
        <v>86600</v>
      </c>
    </row>
    <row r="1036" spans="1:25" ht="12.75" customHeight="1">
      <c r="A1036">
        <v>18141</v>
      </c>
      <c r="B1036" t="s">
        <v>37</v>
      </c>
      <c r="C1036" s="4">
        <v>7.0000000000000007E-2</v>
      </c>
      <c r="D1036" s="8">
        <v>40.98</v>
      </c>
      <c r="E1036" s="4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 s="5">
        <v>0.36</v>
      </c>
      <c r="O1036" t="s">
        <v>33</v>
      </c>
      <c r="P1036" t="s">
        <v>53</v>
      </c>
      <c r="Q1036" t="s">
        <v>193</v>
      </c>
      <c r="R1036" t="s">
        <v>1829</v>
      </c>
      <c r="S1036" s="7">
        <v>1469</v>
      </c>
      <c r="T1036" s="3">
        <v>42093</v>
      </c>
      <c r="U1036" s="3">
        <v>42095</v>
      </c>
      <c r="V1036" s="4">
        <v>369.20519999999999</v>
      </c>
      <c r="W1036">
        <v>13</v>
      </c>
      <c r="X1036">
        <v>535.08000000000004</v>
      </c>
      <c r="Y1036" s="7">
        <v>86599</v>
      </c>
    </row>
    <row r="1037" spans="1:25" ht="12.75" customHeight="1">
      <c r="A1037">
        <v>19139</v>
      </c>
      <c r="B1037" t="s">
        <v>25</v>
      </c>
      <c r="C1037" s="4">
        <v>0.09</v>
      </c>
      <c r="D1037" s="8">
        <v>35.99</v>
      </c>
      <c r="E1037" s="4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 s="5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 s="7">
        <v>36330</v>
      </c>
      <c r="T1037" s="3">
        <v>42095</v>
      </c>
      <c r="U1037" s="3">
        <v>42097</v>
      </c>
      <c r="V1037" s="4">
        <v>19.350000000000001</v>
      </c>
      <c r="W1037">
        <v>8</v>
      </c>
      <c r="X1037">
        <v>222.71</v>
      </c>
      <c r="Y1037" s="7">
        <v>89697</v>
      </c>
    </row>
    <row r="1038" spans="1:25" ht="12.75" customHeight="1">
      <c r="A1038">
        <v>19140</v>
      </c>
      <c r="B1038" t="s">
        <v>25</v>
      </c>
      <c r="C1038" s="4">
        <v>0.01</v>
      </c>
      <c r="D1038" s="8">
        <v>125.99</v>
      </c>
      <c r="E1038" s="4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 s="5">
        <v>0.6</v>
      </c>
      <c r="O1038" t="s">
        <v>33</v>
      </c>
      <c r="P1038" t="s">
        <v>136</v>
      </c>
      <c r="Q1038" t="s">
        <v>1278</v>
      </c>
      <c r="R1038" t="s">
        <v>1831</v>
      </c>
      <c r="S1038" s="7">
        <v>36330</v>
      </c>
      <c r="T1038" s="3">
        <v>42095</v>
      </c>
      <c r="U1038" s="3">
        <v>42096</v>
      </c>
      <c r="V1038" s="4">
        <v>-967.83399999999995</v>
      </c>
      <c r="W1038">
        <v>2</v>
      </c>
      <c r="X1038">
        <v>220.52</v>
      </c>
      <c r="Y1038" s="7">
        <v>89697</v>
      </c>
    </row>
    <row r="1039" spans="1:25" ht="12.75" customHeight="1">
      <c r="A1039">
        <v>19141</v>
      </c>
      <c r="B1039" t="s">
        <v>37</v>
      </c>
      <c r="C1039" s="4">
        <v>0.06</v>
      </c>
      <c r="D1039" s="8">
        <v>6.48</v>
      </c>
      <c r="E1039" s="4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 s="5">
        <v>0.37</v>
      </c>
      <c r="O1039" t="s">
        <v>33</v>
      </c>
      <c r="P1039" t="s">
        <v>34</v>
      </c>
      <c r="Q1039" t="s">
        <v>45</v>
      </c>
      <c r="R1039" t="s">
        <v>1833</v>
      </c>
      <c r="S1039" s="7">
        <v>92008</v>
      </c>
      <c r="T1039" s="3">
        <v>42082</v>
      </c>
      <c r="U1039" s="3">
        <v>42084</v>
      </c>
      <c r="V1039" s="4">
        <v>-28.45</v>
      </c>
      <c r="W1039">
        <v>10</v>
      </c>
      <c r="X1039">
        <v>68.34</v>
      </c>
      <c r="Y1039" s="7">
        <v>86847</v>
      </c>
    </row>
    <row r="1040" spans="1:25" ht="12.75" customHeight="1">
      <c r="A1040">
        <v>19142</v>
      </c>
      <c r="B1040" t="s">
        <v>37</v>
      </c>
      <c r="C1040" s="4">
        <v>0.02</v>
      </c>
      <c r="D1040" s="8">
        <v>30.73</v>
      </c>
      <c r="E1040" s="4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 s="5">
        <v>0.75</v>
      </c>
      <c r="O1040" t="s">
        <v>33</v>
      </c>
      <c r="P1040" t="s">
        <v>53</v>
      </c>
      <c r="Q1040" t="s">
        <v>228</v>
      </c>
      <c r="R1040" t="s">
        <v>687</v>
      </c>
      <c r="S1040" s="7">
        <v>6478</v>
      </c>
      <c r="T1040" s="3">
        <v>42082</v>
      </c>
      <c r="U1040" s="3">
        <v>42085</v>
      </c>
      <c r="V1040" s="4">
        <v>72.78</v>
      </c>
      <c r="W1040">
        <v>16</v>
      </c>
      <c r="X1040">
        <v>522.22</v>
      </c>
      <c r="Y1040" s="7">
        <v>86847</v>
      </c>
    </row>
    <row r="1041" spans="1:25" ht="12.75" customHeight="1">
      <c r="A1041">
        <v>20036</v>
      </c>
      <c r="B1041" t="s">
        <v>47</v>
      </c>
      <c r="C1041" s="4">
        <v>0.09</v>
      </c>
      <c r="D1041" s="8">
        <v>5.98</v>
      </c>
      <c r="E1041" s="4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 s="5">
        <v>0.39</v>
      </c>
      <c r="O1041" t="s">
        <v>33</v>
      </c>
      <c r="P1041" t="s">
        <v>53</v>
      </c>
      <c r="Q1041" t="s">
        <v>193</v>
      </c>
      <c r="R1041" t="s">
        <v>1836</v>
      </c>
      <c r="S1041" s="7">
        <v>1570</v>
      </c>
      <c r="T1041" s="3">
        <v>42170</v>
      </c>
      <c r="U1041" s="3">
        <v>42172</v>
      </c>
      <c r="V1041" s="4">
        <v>13.2294</v>
      </c>
      <c r="W1041">
        <v>5</v>
      </c>
      <c r="X1041">
        <v>28.01</v>
      </c>
      <c r="Y1041" s="7">
        <v>86846</v>
      </c>
    </row>
    <row r="1042" spans="1:25" ht="12.75" customHeight="1">
      <c r="A1042">
        <v>18879</v>
      </c>
      <c r="B1042" t="s">
        <v>37</v>
      </c>
      <c r="C1042" s="4">
        <v>0.08</v>
      </c>
      <c r="D1042" s="8">
        <v>8.09</v>
      </c>
      <c r="E1042" s="4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 s="5">
        <v>0.49</v>
      </c>
      <c r="O1042" t="s">
        <v>33</v>
      </c>
      <c r="P1042" t="s">
        <v>34</v>
      </c>
      <c r="Q1042" t="s">
        <v>366</v>
      </c>
      <c r="R1042" t="s">
        <v>1838</v>
      </c>
      <c r="S1042" s="7">
        <v>88310</v>
      </c>
      <c r="T1042" s="3">
        <v>42127</v>
      </c>
      <c r="U1042" s="3">
        <v>42128</v>
      </c>
      <c r="V1042" s="4">
        <v>-88.82</v>
      </c>
      <c r="W1042">
        <v>10</v>
      </c>
      <c r="X1042">
        <v>80.349999999999994</v>
      </c>
      <c r="Y1042" s="7">
        <v>89209</v>
      </c>
    </row>
    <row r="1043" spans="1:25" ht="12.75" customHeight="1">
      <c r="A1043">
        <v>19415</v>
      </c>
      <c r="B1043" t="s">
        <v>56</v>
      </c>
      <c r="C1043" s="4">
        <v>0.03</v>
      </c>
      <c r="D1043" s="8">
        <v>90.48</v>
      </c>
      <c r="E1043" s="4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 s="5">
        <v>0.4</v>
      </c>
      <c r="O1043" t="s">
        <v>33</v>
      </c>
      <c r="P1043" t="s">
        <v>136</v>
      </c>
      <c r="Q1043" t="s">
        <v>362</v>
      </c>
      <c r="R1043" t="s">
        <v>1841</v>
      </c>
      <c r="S1043" s="7">
        <v>33403</v>
      </c>
      <c r="T1043" s="3">
        <v>42021</v>
      </c>
      <c r="U1043" s="3">
        <v>42023</v>
      </c>
      <c r="V1043" s="4">
        <v>15.353999999999999</v>
      </c>
      <c r="W1043">
        <v>1</v>
      </c>
      <c r="X1043">
        <v>99.69</v>
      </c>
      <c r="Y1043" s="7">
        <v>90099</v>
      </c>
    </row>
    <row r="1044" spans="1:25" ht="12.75" customHeight="1">
      <c r="A1044">
        <v>19416</v>
      </c>
      <c r="B1044" t="s">
        <v>56</v>
      </c>
      <c r="C1044" s="4">
        <v>0.06</v>
      </c>
      <c r="D1044" s="8">
        <v>22.84</v>
      </c>
      <c r="E1044" s="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 s="5">
        <v>0.39</v>
      </c>
      <c r="O1044" t="s">
        <v>33</v>
      </c>
      <c r="P1044" t="s">
        <v>136</v>
      </c>
      <c r="Q1044" t="s">
        <v>362</v>
      </c>
      <c r="R1044" t="s">
        <v>1841</v>
      </c>
      <c r="S1044" s="7">
        <v>33403</v>
      </c>
      <c r="T1044" s="3">
        <v>42021</v>
      </c>
      <c r="U1044" s="3">
        <v>42021</v>
      </c>
      <c r="V1044" s="4">
        <v>-357.92399999999998</v>
      </c>
      <c r="W1044">
        <v>7</v>
      </c>
      <c r="X1044">
        <v>152.49</v>
      </c>
      <c r="Y1044" s="7">
        <v>90099</v>
      </c>
    </row>
    <row r="1045" spans="1:25" ht="12.75" customHeight="1">
      <c r="A1045">
        <v>20844</v>
      </c>
      <c r="B1045" t="s">
        <v>47</v>
      </c>
      <c r="C1045" s="4">
        <v>0.09</v>
      </c>
      <c r="D1045" s="8">
        <v>95.99</v>
      </c>
      <c r="E1045" s="4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 s="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 s="7">
        <v>23320</v>
      </c>
      <c r="T1045" s="3">
        <v>42033</v>
      </c>
      <c r="U1045" s="3">
        <v>42035</v>
      </c>
      <c r="V1045" s="4">
        <v>34.302</v>
      </c>
      <c r="W1045">
        <v>4</v>
      </c>
      <c r="X1045">
        <v>320.75</v>
      </c>
      <c r="Y1045" s="7">
        <v>90899</v>
      </c>
    </row>
    <row r="1046" spans="1:25" ht="12.75" customHeight="1">
      <c r="A1046">
        <v>18284</v>
      </c>
      <c r="B1046" t="s">
        <v>37</v>
      </c>
      <c r="C1046" s="4">
        <v>0.09</v>
      </c>
      <c r="D1046" s="8">
        <v>5.78</v>
      </c>
      <c r="E1046" s="4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 s="5">
        <v>0.36</v>
      </c>
      <c r="O1046" t="s">
        <v>33</v>
      </c>
      <c r="P1046" t="s">
        <v>53</v>
      </c>
      <c r="Q1046" t="s">
        <v>54</v>
      </c>
      <c r="R1046" t="s">
        <v>1846</v>
      </c>
      <c r="S1046" s="7">
        <v>7036</v>
      </c>
      <c r="T1046" s="3">
        <v>42064</v>
      </c>
      <c r="U1046" s="3">
        <v>42066</v>
      </c>
      <c r="V1046" s="4">
        <v>-7.96</v>
      </c>
      <c r="W1046">
        <v>1</v>
      </c>
      <c r="X1046">
        <v>11.35</v>
      </c>
      <c r="Y1046" s="7">
        <v>87378</v>
      </c>
    </row>
    <row r="1047" spans="1:25" ht="12.75" customHeight="1">
      <c r="A1047">
        <v>18283</v>
      </c>
      <c r="B1047" t="s">
        <v>37</v>
      </c>
      <c r="C1047" s="4">
        <v>0.05</v>
      </c>
      <c r="D1047" s="8">
        <v>535.64</v>
      </c>
      <c r="E1047" s="4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 s="5">
        <v>0.59</v>
      </c>
      <c r="O1047" t="s">
        <v>33</v>
      </c>
      <c r="P1047" t="s">
        <v>53</v>
      </c>
      <c r="Q1047" t="s">
        <v>469</v>
      </c>
      <c r="R1047" t="s">
        <v>1849</v>
      </c>
      <c r="S1047" s="7">
        <v>2806</v>
      </c>
      <c r="T1047" s="3">
        <v>42064</v>
      </c>
      <c r="U1047" s="3">
        <v>42066</v>
      </c>
      <c r="V1047" s="4">
        <v>4407.4399999999996</v>
      </c>
      <c r="W1047">
        <v>15</v>
      </c>
      <c r="X1047">
        <v>7029.1</v>
      </c>
      <c r="Y1047" s="7">
        <v>87378</v>
      </c>
    </row>
    <row r="1048" spans="1:25" ht="12.75" customHeight="1">
      <c r="A1048">
        <v>19918</v>
      </c>
      <c r="B1048" t="s">
        <v>106</v>
      </c>
      <c r="C1048" s="4">
        <v>0.09</v>
      </c>
      <c r="D1048" s="8">
        <v>78.8</v>
      </c>
      <c r="E1048" s="4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 s="5">
        <v>0.83</v>
      </c>
      <c r="O1048" t="s">
        <v>33</v>
      </c>
      <c r="P1048" t="s">
        <v>53</v>
      </c>
      <c r="Q1048" t="s">
        <v>154</v>
      </c>
      <c r="R1048" t="s">
        <v>1739</v>
      </c>
      <c r="S1048" s="7">
        <v>45429</v>
      </c>
      <c r="T1048" s="3">
        <v>42111</v>
      </c>
      <c r="U1048" s="3">
        <v>42115</v>
      </c>
      <c r="V1048" s="4">
        <v>-1025.0172</v>
      </c>
      <c r="W1048">
        <v>14</v>
      </c>
      <c r="X1048">
        <v>1059.3800000000001</v>
      </c>
      <c r="Y1048" s="7">
        <v>90631</v>
      </c>
    </row>
    <row r="1049" spans="1:25" ht="12.75" customHeight="1">
      <c r="A1049">
        <v>23886</v>
      </c>
      <c r="B1049" t="s">
        <v>37</v>
      </c>
      <c r="C1049" s="4">
        <v>0.03</v>
      </c>
      <c r="D1049" s="8">
        <v>320.64</v>
      </c>
      <c r="E1049" s="4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 s="5">
        <v>0.66</v>
      </c>
      <c r="O1049" t="s">
        <v>33</v>
      </c>
      <c r="P1049" t="s">
        <v>53</v>
      </c>
      <c r="Q1049" t="s">
        <v>154</v>
      </c>
      <c r="R1049" t="s">
        <v>1854</v>
      </c>
      <c r="S1049" s="7">
        <v>45801</v>
      </c>
      <c r="T1049" s="3">
        <v>42099</v>
      </c>
      <c r="U1049" s="3">
        <v>42101</v>
      </c>
      <c r="V1049" s="4">
        <v>429.75435600000003</v>
      </c>
      <c r="W1049">
        <v>7</v>
      </c>
      <c r="X1049">
        <v>2233.46</v>
      </c>
      <c r="Y1049" s="7">
        <v>90630</v>
      </c>
    </row>
    <row r="1050" spans="1:25" ht="12.75" customHeight="1">
      <c r="A1050">
        <v>22858</v>
      </c>
      <c r="B1050" t="s">
        <v>106</v>
      </c>
      <c r="C1050" s="4">
        <v>0.03</v>
      </c>
      <c r="D1050" s="8">
        <v>180.98</v>
      </c>
      <c r="E1050" s="4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 s="5">
        <v>0.59</v>
      </c>
      <c r="O1050" t="s">
        <v>33</v>
      </c>
      <c r="P1050" t="s">
        <v>61</v>
      </c>
      <c r="Q1050" t="s">
        <v>506</v>
      </c>
      <c r="R1050" t="s">
        <v>1856</v>
      </c>
      <c r="S1050" s="7">
        <v>63119</v>
      </c>
      <c r="T1050" s="3">
        <v>42120</v>
      </c>
      <c r="U1050" s="3">
        <v>42124</v>
      </c>
      <c r="V1050" s="4">
        <v>588.54</v>
      </c>
      <c r="W1050">
        <v>5</v>
      </c>
      <c r="X1050">
        <v>928.92</v>
      </c>
      <c r="Y1050" s="7">
        <v>91262</v>
      </c>
    </row>
    <row r="1051" spans="1:25" ht="12.75" customHeight="1">
      <c r="A1051">
        <v>23260</v>
      </c>
      <c r="B1051" t="s">
        <v>47</v>
      </c>
      <c r="C1051" s="4">
        <v>0</v>
      </c>
      <c r="D1051" s="8">
        <v>300.98</v>
      </c>
      <c r="E1051" s="4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 s="5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 s="7">
        <v>54915</v>
      </c>
      <c r="T1051" s="3">
        <v>42059</v>
      </c>
      <c r="U1051" s="3">
        <v>42060</v>
      </c>
      <c r="V1051" s="4">
        <v>2653.2914999999998</v>
      </c>
      <c r="W1051">
        <v>12</v>
      </c>
      <c r="X1051">
        <v>3845.35</v>
      </c>
      <c r="Y1051" s="7">
        <v>91261</v>
      </c>
    </row>
    <row r="1052" spans="1:25" ht="12.75" customHeight="1">
      <c r="A1052">
        <v>23261</v>
      </c>
      <c r="B1052" t="s">
        <v>47</v>
      </c>
      <c r="C1052" s="4">
        <v>0.09</v>
      </c>
      <c r="D1052" s="8">
        <v>2.94</v>
      </c>
      <c r="E1052" s="4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 s="5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 s="7">
        <v>54915</v>
      </c>
      <c r="T1052" s="3">
        <v>42059</v>
      </c>
      <c r="U1052" s="3">
        <v>42061</v>
      </c>
      <c r="V1052" s="4">
        <v>-1.84</v>
      </c>
      <c r="W1052">
        <v>1</v>
      </c>
      <c r="X1052">
        <v>3.77</v>
      </c>
      <c r="Y1052" s="7">
        <v>91261</v>
      </c>
    </row>
    <row r="1053" spans="1:25" ht="12.75" customHeight="1">
      <c r="A1053">
        <v>23237</v>
      </c>
      <c r="B1053" t="s">
        <v>25</v>
      </c>
      <c r="C1053" s="4">
        <v>0.01</v>
      </c>
      <c r="D1053" s="8">
        <v>26.17</v>
      </c>
      <c r="E1053" s="4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 s="5">
        <v>0.38</v>
      </c>
      <c r="O1053" t="s">
        <v>33</v>
      </c>
      <c r="P1053" t="s">
        <v>61</v>
      </c>
      <c r="Q1053" t="s">
        <v>1858</v>
      </c>
      <c r="R1053" t="s">
        <v>1859</v>
      </c>
      <c r="S1053" s="7">
        <v>54915</v>
      </c>
      <c r="T1053" s="3">
        <v>42081</v>
      </c>
      <c r="U1053" s="3">
        <v>42082</v>
      </c>
      <c r="V1053" s="4">
        <v>237.04259999999999</v>
      </c>
      <c r="W1053">
        <v>13</v>
      </c>
      <c r="X1053">
        <v>343.54</v>
      </c>
      <c r="Y1053" s="7">
        <v>91263</v>
      </c>
    </row>
    <row r="1054" spans="1:25" ht="12.75" customHeight="1">
      <c r="A1054">
        <v>19048</v>
      </c>
      <c r="B1054" t="s">
        <v>106</v>
      </c>
      <c r="C1054" s="4">
        <v>7.0000000000000007E-2</v>
      </c>
      <c r="D1054" s="8">
        <v>172.99</v>
      </c>
      <c r="E1054" s="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 s="5">
        <v>0.39</v>
      </c>
      <c r="O1054" t="s">
        <v>33</v>
      </c>
      <c r="P1054" t="s">
        <v>53</v>
      </c>
      <c r="Q1054" t="s">
        <v>154</v>
      </c>
      <c r="R1054" t="s">
        <v>1854</v>
      </c>
      <c r="S1054" s="7">
        <v>45801</v>
      </c>
      <c r="T1054" s="3">
        <v>42141</v>
      </c>
      <c r="U1054" s="3">
        <v>42141</v>
      </c>
      <c r="V1054" s="4">
        <v>2502.6851999999999</v>
      </c>
      <c r="W1054">
        <v>22</v>
      </c>
      <c r="X1054">
        <v>3627.08</v>
      </c>
      <c r="Y1054" s="7">
        <v>86500</v>
      </c>
    </row>
    <row r="1055" spans="1:25" ht="12.75" customHeight="1">
      <c r="A1055">
        <v>19049</v>
      </c>
      <c r="B1055" t="s">
        <v>106</v>
      </c>
      <c r="C1055" s="4">
        <v>0.09</v>
      </c>
      <c r="D1055" s="8">
        <v>7.64</v>
      </c>
      <c r="E1055" s="4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 s="5">
        <v>0.36</v>
      </c>
      <c r="O1055" t="s">
        <v>33</v>
      </c>
      <c r="P1055" t="s">
        <v>53</v>
      </c>
      <c r="Q1055" t="s">
        <v>154</v>
      </c>
      <c r="R1055" t="s">
        <v>1864</v>
      </c>
      <c r="S1055" s="7">
        <v>44052</v>
      </c>
      <c r="T1055" s="3">
        <v>42141</v>
      </c>
      <c r="U1055" s="3">
        <v>42150</v>
      </c>
      <c r="V1055" s="4">
        <v>0.68800000000000017</v>
      </c>
      <c r="W1055">
        <v>1</v>
      </c>
      <c r="X1055">
        <v>8.34</v>
      </c>
      <c r="Y1055" s="7">
        <v>86500</v>
      </c>
    </row>
    <row r="1056" spans="1:25" ht="12.75" customHeight="1">
      <c r="A1056">
        <v>23812</v>
      </c>
      <c r="B1056" t="s">
        <v>37</v>
      </c>
      <c r="C1056" s="4">
        <v>0.02</v>
      </c>
      <c r="D1056" s="8">
        <v>29.17</v>
      </c>
      <c r="E1056" s="4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 s="5">
        <v>0.37</v>
      </c>
      <c r="O1056" t="s">
        <v>33</v>
      </c>
      <c r="P1056" t="s">
        <v>136</v>
      </c>
      <c r="Q1056" t="s">
        <v>387</v>
      </c>
      <c r="R1056" t="s">
        <v>1866</v>
      </c>
      <c r="S1056" s="7">
        <v>30269</v>
      </c>
      <c r="T1056" s="3">
        <v>42005</v>
      </c>
      <c r="U1056" s="3">
        <v>42006</v>
      </c>
      <c r="V1056" s="4">
        <v>36.905999999999999</v>
      </c>
      <c r="W1056">
        <v>2</v>
      </c>
      <c r="X1056">
        <v>63.32</v>
      </c>
      <c r="Y1056" s="7">
        <v>91371</v>
      </c>
    </row>
    <row r="1057" spans="1:25" ht="12.75" customHeight="1">
      <c r="A1057">
        <v>18962</v>
      </c>
      <c r="B1057" t="s">
        <v>47</v>
      </c>
      <c r="C1057" s="4">
        <v>0.03</v>
      </c>
      <c r="D1057" s="8">
        <v>11.99</v>
      </c>
      <c r="E1057" s="4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 s="5">
        <v>0.36</v>
      </c>
      <c r="O1057" t="s">
        <v>33</v>
      </c>
      <c r="P1057" t="s">
        <v>136</v>
      </c>
      <c r="Q1057" t="s">
        <v>958</v>
      </c>
      <c r="R1057" t="s">
        <v>1869</v>
      </c>
      <c r="S1057" s="7">
        <v>72209</v>
      </c>
      <c r="T1057" s="3">
        <v>42062</v>
      </c>
      <c r="U1057" s="3">
        <v>42063</v>
      </c>
      <c r="V1057" s="4">
        <v>-216.02980000000002</v>
      </c>
      <c r="W1057">
        <v>7</v>
      </c>
      <c r="X1057">
        <v>83.72</v>
      </c>
      <c r="Y1057" s="7">
        <v>85893</v>
      </c>
    </row>
    <row r="1058" spans="1:25" ht="12.75" customHeight="1">
      <c r="A1058">
        <v>18016</v>
      </c>
      <c r="B1058" t="s">
        <v>25</v>
      </c>
      <c r="C1058" s="4">
        <v>0.01</v>
      </c>
      <c r="D1058" s="8">
        <v>125.99</v>
      </c>
      <c r="E1058" s="4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 s="5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 s="7">
        <v>72209</v>
      </c>
      <c r="T1058" s="3">
        <v>42110</v>
      </c>
      <c r="U1058" s="3">
        <v>42112</v>
      </c>
      <c r="V1058" s="4">
        <v>-45.471999999999994</v>
      </c>
      <c r="W1058">
        <v>9</v>
      </c>
      <c r="X1058">
        <v>1011.44</v>
      </c>
      <c r="Y1058" s="7">
        <v>85895</v>
      </c>
    </row>
    <row r="1059" spans="1:25" ht="12.75" customHeight="1">
      <c r="A1059">
        <v>21000</v>
      </c>
      <c r="B1059" t="s">
        <v>56</v>
      </c>
      <c r="C1059" s="4">
        <v>0.08</v>
      </c>
      <c r="D1059" s="8">
        <v>18.7</v>
      </c>
      <c r="E1059" s="4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 s="5">
        <v>0.47</v>
      </c>
      <c r="O1059" t="s">
        <v>33</v>
      </c>
      <c r="P1059" t="s">
        <v>136</v>
      </c>
      <c r="Q1059" t="s">
        <v>958</v>
      </c>
      <c r="R1059" t="s">
        <v>1872</v>
      </c>
      <c r="S1059" s="7">
        <v>72113</v>
      </c>
      <c r="T1059" s="3">
        <v>42090</v>
      </c>
      <c r="U1059" s="3">
        <v>42091</v>
      </c>
      <c r="V1059" s="4">
        <v>16.136400000000002</v>
      </c>
      <c r="W1059">
        <v>7</v>
      </c>
      <c r="X1059">
        <v>132.22999999999999</v>
      </c>
      <c r="Y1059" s="7">
        <v>85894</v>
      </c>
    </row>
    <row r="1060" spans="1:25" ht="12.75" customHeight="1">
      <c r="A1060">
        <v>19967</v>
      </c>
      <c r="B1060" t="s">
        <v>25</v>
      </c>
      <c r="C1060" s="4">
        <v>0.08</v>
      </c>
      <c r="D1060" s="8">
        <v>22.23</v>
      </c>
      <c r="E1060" s="4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 s="5">
        <v>0.52</v>
      </c>
      <c r="O1060" t="s">
        <v>33</v>
      </c>
      <c r="P1060" t="s">
        <v>136</v>
      </c>
      <c r="Q1060" t="s">
        <v>958</v>
      </c>
      <c r="R1060" t="s">
        <v>1872</v>
      </c>
      <c r="S1060" s="7">
        <v>72113</v>
      </c>
      <c r="T1060" s="3">
        <v>42064</v>
      </c>
      <c r="U1060" s="3">
        <v>42066</v>
      </c>
      <c r="V1060" s="4">
        <v>-29.61</v>
      </c>
      <c r="W1060">
        <v>10</v>
      </c>
      <c r="X1060">
        <v>210.33</v>
      </c>
      <c r="Y1060" s="7">
        <v>85897</v>
      </c>
    </row>
    <row r="1061" spans="1:25" ht="12.75" customHeight="1">
      <c r="A1061">
        <v>22246</v>
      </c>
      <c r="B1061" t="s">
        <v>106</v>
      </c>
      <c r="C1061" s="4">
        <v>0.1</v>
      </c>
      <c r="D1061" s="8">
        <v>10.44</v>
      </c>
      <c r="E1061" s="4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 s="5">
        <v>0.39</v>
      </c>
      <c r="O1061" t="s">
        <v>33</v>
      </c>
      <c r="P1061" t="s">
        <v>136</v>
      </c>
      <c r="Q1061" t="s">
        <v>958</v>
      </c>
      <c r="R1061" t="s">
        <v>1876</v>
      </c>
      <c r="S1061" s="7">
        <v>72450</v>
      </c>
      <c r="T1061" s="3">
        <v>42098</v>
      </c>
      <c r="U1061" s="3">
        <v>42105</v>
      </c>
      <c r="V1061" s="4">
        <v>125.72399999999999</v>
      </c>
      <c r="W1061">
        <v>17</v>
      </c>
      <c r="X1061">
        <v>168.04</v>
      </c>
      <c r="Y1061" s="7">
        <v>85898</v>
      </c>
    </row>
    <row r="1062" spans="1:25" ht="12.75" customHeight="1">
      <c r="A1062">
        <v>24971</v>
      </c>
      <c r="B1062" t="s">
        <v>25</v>
      </c>
      <c r="C1062" s="4">
        <v>0</v>
      </c>
      <c r="D1062" s="8">
        <v>195.99</v>
      </c>
      <c r="E1062" s="4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 s="5">
        <v>0.6</v>
      </c>
      <c r="O1062" t="s">
        <v>33</v>
      </c>
      <c r="P1062" t="s">
        <v>136</v>
      </c>
      <c r="Q1062" t="s">
        <v>958</v>
      </c>
      <c r="R1062" t="s">
        <v>1878</v>
      </c>
      <c r="S1062" s="7">
        <v>71603</v>
      </c>
      <c r="T1062" s="3">
        <v>42059</v>
      </c>
      <c r="U1062" s="3">
        <v>42060</v>
      </c>
      <c r="V1062" s="4">
        <v>114.88199999999999</v>
      </c>
      <c r="W1062">
        <v>5</v>
      </c>
      <c r="X1062">
        <v>882.93</v>
      </c>
      <c r="Y1062" s="7">
        <v>85896</v>
      </c>
    </row>
    <row r="1063" spans="1:25" ht="12.75" customHeight="1">
      <c r="A1063">
        <v>21563</v>
      </c>
      <c r="B1063" t="s">
        <v>25</v>
      </c>
      <c r="C1063" s="4">
        <v>0.02</v>
      </c>
      <c r="D1063" s="8">
        <v>259.70999999999998</v>
      </c>
      <c r="E1063" s="4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 s="5">
        <v>0.65</v>
      </c>
      <c r="O1063" t="s">
        <v>33</v>
      </c>
      <c r="P1063" t="s">
        <v>136</v>
      </c>
      <c r="Q1063" t="s">
        <v>932</v>
      </c>
      <c r="R1063" t="s">
        <v>1576</v>
      </c>
      <c r="S1063" s="7">
        <v>29611</v>
      </c>
      <c r="T1063" s="3">
        <v>42041</v>
      </c>
      <c r="U1063" s="3">
        <v>42041</v>
      </c>
      <c r="V1063" s="4">
        <v>-14.448</v>
      </c>
      <c r="W1063">
        <v>8</v>
      </c>
      <c r="X1063">
        <v>1757.15</v>
      </c>
      <c r="Y1063" s="7">
        <v>88579</v>
      </c>
    </row>
    <row r="1064" spans="1:25" ht="12.75" customHeight="1">
      <c r="A1064">
        <v>22686</v>
      </c>
      <c r="B1064" t="s">
        <v>37</v>
      </c>
      <c r="C1064" s="4">
        <v>0.1</v>
      </c>
      <c r="D1064" s="8">
        <v>1889.99</v>
      </c>
      <c r="E1064" s="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 s="5">
        <v>0.36</v>
      </c>
      <c r="O1064" t="s">
        <v>33</v>
      </c>
      <c r="P1064" t="s">
        <v>136</v>
      </c>
      <c r="Q1064" t="s">
        <v>932</v>
      </c>
      <c r="R1064" t="s">
        <v>1882</v>
      </c>
      <c r="S1064" s="7">
        <v>29651</v>
      </c>
      <c r="T1064" s="3">
        <v>42025</v>
      </c>
      <c r="U1064" s="3">
        <v>42025</v>
      </c>
      <c r="V1064" s="4">
        <v>-42.545999999999999</v>
      </c>
      <c r="W1064">
        <v>1</v>
      </c>
      <c r="X1064">
        <v>1786.04</v>
      </c>
      <c r="Y1064" s="7">
        <v>88580</v>
      </c>
    </row>
    <row r="1065" spans="1:25" ht="12.75" customHeight="1">
      <c r="A1065">
        <v>18159</v>
      </c>
      <c r="B1065" t="s">
        <v>106</v>
      </c>
      <c r="C1065" s="4">
        <v>0.06</v>
      </c>
      <c r="D1065" s="8">
        <v>3.58</v>
      </c>
      <c r="E1065" s="4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 s="5">
        <v>0.36</v>
      </c>
      <c r="O1065" t="s">
        <v>33</v>
      </c>
      <c r="P1065" t="s">
        <v>61</v>
      </c>
      <c r="Q1065" t="s">
        <v>130</v>
      </c>
      <c r="R1065" t="s">
        <v>1884</v>
      </c>
      <c r="S1065" s="7">
        <v>75043</v>
      </c>
      <c r="T1065" s="3">
        <v>42113</v>
      </c>
      <c r="U1065" s="3">
        <v>42117</v>
      </c>
      <c r="V1065" s="4">
        <v>14</v>
      </c>
      <c r="W1065">
        <v>10</v>
      </c>
      <c r="X1065">
        <v>34.76</v>
      </c>
      <c r="Y1065" s="7">
        <v>86687</v>
      </c>
    </row>
    <row r="1066" spans="1:25" ht="12.75" customHeight="1">
      <c r="A1066">
        <v>19697</v>
      </c>
      <c r="B1066" t="s">
        <v>106</v>
      </c>
      <c r="C1066" s="4">
        <v>0.04</v>
      </c>
      <c r="D1066" s="8">
        <v>180.98</v>
      </c>
      <c r="E1066" s="4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 s="5">
        <v>0.69</v>
      </c>
      <c r="O1066" t="s">
        <v>33</v>
      </c>
      <c r="P1066" t="s">
        <v>61</v>
      </c>
      <c r="Q1066" t="s">
        <v>130</v>
      </c>
      <c r="R1066" t="s">
        <v>883</v>
      </c>
      <c r="S1066" s="7">
        <v>78626</v>
      </c>
      <c r="T1066" s="3">
        <v>42154</v>
      </c>
      <c r="U1066" s="3">
        <v>42154</v>
      </c>
      <c r="V1066" s="4">
        <v>52.988000000000056</v>
      </c>
      <c r="W1066">
        <v>3</v>
      </c>
      <c r="X1066">
        <v>561.65</v>
      </c>
      <c r="Y1066" s="7">
        <v>86688</v>
      </c>
    </row>
    <row r="1067" spans="1:25" ht="12.75" customHeight="1">
      <c r="A1067">
        <v>19780</v>
      </c>
      <c r="B1067" t="s">
        <v>47</v>
      </c>
      <c r="C1067" s="4">
        <v>0.01</v>
      </c>
      <c r="D1067" s="8">
        <v>42.98</v>
      </c>
      <c r="E1067" s="4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 s="5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 s="7">
        <v>75051</v>
      </c>
      <c r="T1067" s="3">
        <v>42102</v>
      </c>
      <c r="U1067" s="3">
        <v>42104</v>
      </c>
      <c r="V1067" s="4">
        <v>285.47370000000001</v>
      </c>
      <c r="W1067">
        <v>9</v>
      </c>
      <c r="X1067">
        <v>413.73</v>
      </c>
      <c r="Y1067" s="7">
        <v>86686</v>
      </c>
    </row>
    <row r="1068" spans="1:25" ht="12.75" customHeight="1">
      <c r="A1068">
        <v>19698</v>
      </c>
      <c r="B1068" t="s">
        <v>106</v>
      </c>
      <c r="C1068" s="4">
        <v>0.06</v>
      </c>
      <c r="D1068" s="8">
        <v>3.25</v>
      </c>
      <c r="E1068" s="4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 s="5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 s="7">
        <v>75051</v>
      </c>
      <c r="T1068" s="3">
        <v>42154</v>
      </c>
      <c r="U1068" s="3">
        <v>42160</v>
      </c>
      <c r="V1068" s="4">
        <v>10.50800000000001</v>
      </c>
      <c r="W1068">
        <v>2</v>
      </c>
      <c r="X1068">
        <v>55.6</v>
      </c>
      <c r="Y1068" s="7">
        <v>86688</v>
      </c>
    </row>
    <row r="1069" spans="1:25" ht="12.75" customHeight="1">
      <c r="A1069">
        <v>19699</v>
      </c>
      <c r="B1069" t="s">
        <v>106</v>
      </c>
      <c r="C1069" s="4">
        <v>0.01</v>
      </c>
      <c r="D1069" s="8">
        <v>110.98</v>
      </c>
      <c r="E1069" s="4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 s="5">
        <v>0.69</v>
      </c>
      <c r="O1069" t="s">
        <v>33</v>
      </c>
      <c r="P1069" t="s">
        <v>61</v>
      </c>
      <c r="Q1069" t="s">
        <v>130</v>
      </c>
      <c r="R1069" t="s">
        <v>1889</v>
      </c>
      <c r="S1069" s="7">
        <v>75051</v>
      </c>
      <c r="T1069" s="3">
        <v>42154</v>
      </c>
      <c r="U1069" s="3">
        <v>42159</v>
      </c>
      <c r="V1069" s="4">
        <v>1448.7309</v>
      </c>
      <c r="W1069">
        <v>19</v>
      </c>
      <c r="X1069">
        <v>2099.61</v>
      </c>
      <c r="Y1069" s="7">
        <v>86688</v>
      </c>
    </row>
    <row r="1070" spans="1:25" ht="12.75" customHeight="1">
      <c r="A1070">
        <v>19700</v>
      </c>
      <c r="B1070" t="s">
        <v>106</v>
      </c>
      <c r="C1070" s="4">
        <v>0.05</v>
      </c>
      <c r="D1070" s="8">
        <v>3.95</v>
      </c>
      <c r="E1070" s="4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 s="5">
        <v>0.53</v>
      </c>
      <c r="O1070" t="s">
        <v>33</v>
      </c>
      <c r="P1070" t="s">
        <v>61</v>
      </c>
      <c r="Q1070" t="s">
        <v>130</v>
      </c>
      <c r="R1070" t="s">
        <v>1889</v>
      </c>
      <c r="S1070" s="7">
        <v>75051</v>
      </c>
      <c r="T1070" s="3">
        <v>42154</v>
      </c>
      <c r="U1070" s="3">
        <v>42162</v>
      </c>
      <c r="V1070" s="4">
        <v>1.0040000000000004</v>
      </c>
      <c r="W1070">
        <v>23</v>
      </c>
      <c r="X1070">
        <v>96.6</v>
      </c>
      <c r="Y1070" s="7">
        <v>86688</v>
      </c>
    </row>
    <row r="1071" spans="1:25" ht="12.75" customHeight="1">
      <c r="A1071">
        <v>23551</v>
      </c>
      <c r="B1071" t="s">
        <v>56</v>
      </c>
      <c r="C1071" s="4">
        <v>0.1</v>
      </c>
      <c r="D1071" s="8">
        <v>152.47999999999999</v>
      </c>
      <c r="E1071" s="4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 s="5">
        <v>0.79</v>
      </c>
      <c r="O1071" t="s">
        <v>33</v>
      </c>
      <c r="P1071" t="s">
        <v>61</v>
      </c>
      <c r="Q1071" t="s">
        <v>183</v>
      </c>
      <c r="R1071" t="s">
        <v>1893</v>
      </c>
      <c r="S1071" s="7">
        <v>66801</v>
      </c>
      <c r="T1071" s="3">
        <v>42085</v>
      </c>
      <c r="U1071" s="3">
        <v>42086</v>
      </c>
      <c r="V1071" s="4">
        <v>-521.09</v>
      </c>
      <c r="W1071">
        <v>4</v>
      </c>
      <c r="X1071">
        <v>558.16999999999996</v>
      </c>
      <c r="Y1071" s="7">
        <v>88870</v>
      </c>
    </row>
    <row r="1072" spans="1:25" ht="12.75" customHeight="1">
      <c r="A1072">
        <v>23550</v>
      </c>
      <c r="B1072" t="s">
        <v>56</v>
      </c>
      <c r="C1072" s="4">
        <v>0.08</v>
      </c>
      <c r="D1072" s="8">
        <v>6.84</v>
      </c>
      <c r="E1072" s="4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 s="5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 s="7">
        <v>84020</v>
      </c>
      <c r="T1072" s="3">
        <v>42085</v>
      </c>
      <c r="U1072" s="3">
        <v>42087</v>
      </c>
      <c r="V1072" s="4">
        <v>-29.49</v>
      </c>
      <c r="W1072">
        <v>1</v>
      </c>
      <c r="X1072">
        <v>8.39</v>
      </c>
      <c r="Y1072" s="7">
        <v>88870</v>
      </c>
    </row>
    <row r="1073" spans="1:25" ht="12.75" customHeight="1">
      <c r="A1073">
        <v>25531</v>
      </c>
      <c r="B1073" t="s">
        <v>106</v>
      </c>
      <c r="C1073" s="4">
        <v>0</v>
      </c>
      <c r="D1073" s="8">
        <v>78.650000000000006</v>
      </c>
      <c r="E1073" s="4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 s="5">
        <v>0.52</v>
      </c>
      <c r="O1073" t="s">
        <v>33</v>
      </c>
      <c r="P1073" t="s">
        <v>34</v>
      </c>
      <c r="Q1073" t="s">
        <v>212</v>
      </c>
      <c r="R1073" t="s">
        <v>1895</v>
      </c>
      <c r="S1073" s="7">
        <v>84020</v>
      </c>
      <c r="T1073" s="3">
        <v>42113</v>
      </c>
      <c r="U1073" s="3">
        <v>42120</v>
      </c>
      <c r="V1073" s="4">
        <v>386.00669999999991</v>
      </c>
      <c r="W1073">
        <v>7</v>
      </c>
      <c r="X1073">
        <v>559.42999999999995</v>
      </c>
      <c r="Y1073" s="7">
        <v>88871</v>
      </c>
    </row>
    <row r="1074" spans="1:25" ht="12.75" customHeight="1">
      <c r="A1074">
        <v>25532</v>
      </c>
      <c r="B1074" t="s">
        <v>106</v>
      </c>
      <c r="C1074" s="4">
        <v>0.08</v>
      </c>
      <c r="D1074" s="8">
        <v>122.99</v>
      </c>
      <c r="E1074" s="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 s="5">
        <v>0.74</v>
      </c>
      <c r="O1074" t="s">
        <v>33</v>
      </c>
      <c r="P1074" t="s">
        <v>34</v>
      </c>
      <c r="Q1074" t="s">
        <v>212</v>
      </c>
      <c r="R1074" t="s">
        <v>1895</v>
      </c>
      <c r="S1074" s="7">
        <v>84020</v>
      </c>
      <c r="T1074" s="3">
        <v>42113</v>
      </c>
      <c r="U1074" s="3">
        <v>42118</v>
      </c>
      <c r="V1074" s="4">
        <v>-1867.97</v>
      </c>
      <c r="W1074">
        <v>10</v>
      </c>
      <c r="X1074">
        <v>1216.52</v>
      </c>
      <c r="Y1074" s="7">
        <v>88871</v>
      </c>
    </row>
    <row r="1075" spans="1:25" ht="12.75" customHeight="1">
      <c r="A1075">
        <v>20371</v>
      </c>
      <c r="B1075" t="s">
        <v>56</v>
      </c>
      <c r="C1075" s="4">
        <v>0.08</v>
      </c>
      <c r="D1075" s="8">
        <v>90.98</v>
      </c>
      <c r="E1075" s="4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 s="5">
        <v>0.74</v>
      </c>
      <c r="O1075" t="s">
        <v>33</v>
      </c>
      <c r="P1075" t="s">
        <v>53</v>
      </c>
      <c r="Q1075" t="s">
        <v>234</v>
      </c>
      <c r="R1075" t="s">
        <v>1898</v>
      </c>
      <c r="S1075" s="7">
        <v>15228</v>
      </c>
      <c r="T1075" s="3">
        <v>42030</v>
      </c>
      <c r="U1075" s="3">
        <v>42032</v>
      </c>
      <c r="V1075" s="4">
        <v>-1920.9336000000001</v>
      </c>
      <c r="W1075">
        <v>12</v>
      </c>
      <c r="X1075">
        <v>1058.3599999999999</v>
      </c>
      <c r="Y1075" s="7">
        <v>86331</v>
      </c>
    </row>
    <row r="1076" spans="1:25" ht="12.75" customHeight="1">
      <c r="A1076">
        <v>20372</v>
      </c>
      <c r="B1076" t="s">
        <v>56</v>
      </c>
      <c r="C1076" s="4">
        <v>7.0000000000000007E-2</v>
      </c>
      <c r="D1076" s="8">
        <v>5.98</v>
      </c>
      <c r="E1076" s="4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 s="5">
        <v>0.4</v>
      </c>
      <c r="O1076" t="s">
        <v>33</v>
      </c>
      <c r="P1076" t="s">
        <v>53</v>
      </c>
      <c r="Q1076" t="s">
        <v>234</v>
      </c>
      <c r="R1076" t="s">
        <v>1898</v>
      </c>
      <c r="S1076" s="7">
        <v>15228</v>
      </c>
      <c r="T1076" s="3">
        <v>42030</v>
      </c>
      <c r="U1076" s="3">
        <v>42032</v>
      </c>
      <c r="V1076" s="4">
        <v>-37.175200000000004</v>
      </c>
      <c r="W1076">
        <v>3</v>
      </c>
      <c r="X1076">
        <v>18.309999999999999</v>
      </c>
      <c r="Y1076" s="7">
        <v>86331</v>
      </c>
    </row>
    <row r="1077" spans="1:25" ht="12.75" customHeight="1">
      <c r="A1077">
        <v>21762</v>
      </c>
      <c r="B1077" t="s">
        <v>106</v>
      </c>
      <c r="C1077" s="4">
        <v>0.05</v>
      </c>
      <c r="D1077" s="8">
        <v>424.21</v>
      </c>
      <c r="E1077" s="4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 s="5">
        <v>0.67</v>
      </c>
      <c r="O1077" t="s">
        <v>33</v>
      </c>
      <c r="P1077" t="s">
        <v>34</v>
      </c>
      <c r="Q1077" t="s">
        <v>82</v>
      </c>
      <c r="R1077" t="s">
        <v>1901</v>
      </c>
      <c r="S1077" s="7">
        <v>59715</v>
      </c>
      <c r="T1077" s="3">
        <v>42036</v>
      </c>
      <c r="U1077" s="3">
        <v>42040</v>
      </c>
      <c r="V1077" s="4">
        <v>-213.40280000000001</v>
      </c>
      <c r="W1077">
        <v>12</v>
      </c>
      <c r="X1077">
        <v>4935.22</v>
      </c>
      <c r="Y1077" s="7">
        <v>90415</v>
      </c>
    </row>
    <row r="1078" spans="1:25" ht="12.75" customHeight="1">
      <c r="A1078">
        <v>24793</v>
      </c>
      <c r="B1078" t="s">
        <v>37</v>
      </c>
      <c r="C1078" s="4">
        <v>0.01</v>
      </c>
      <c r="D1078" s="8">
        <v>6.68</v>
      </c>
      <c r="E1078" s="4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 s="5">
        <v>0.37</v>
      </c>
      <c r="O1078" t="s">
        <v>33</v>
      </c>
      <c r="P1078" t="s">
        <v>34</v>
      </c>
      <c r="Q1078" t="s">
        <v>82</v>
      </c>
      <c r="R1078" t="s">
        <v>1904</v>
      </c>
      <c r="S1078" s="7">
        <v>59750</v>
      </c>
      <c r="T1078" s="3">
        <v>42010</v>
      </c>
      <c r="U1078" s="3">
        <v>42012</v>
      </c>
      <c r="V1078" s="4">
        <v>-15.48</v>
      </c>
      <c r="W1078">
        <v>7</v>
      </c>
      <c r="X1078">
        <v>51.03</v>
      </c>
      <c r="Y1078" s="7">
        <v>90414</v>
      </c>
    </row>
    <row r="1079" spans="1:25" ht="12.75" customHeight="1">
      <c r="A1079">
        <v>23378</v>
      </c>
      <c r="B1079" t="s">
        <v>25</v>
      </c>
      <c r="C1079" s="4">
        <v>0.09</v>
      </c>
      <c r="D1079" s="8">
        <v>40.98</v>
      </c>
      <c r="E1079" s="4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 s="5">
        <v>0.74</v>
      </c>
      <c r="O1079" t="s">
        <v>33</v>
      </c>
      <c r="P1079" t="s">
        <v>34</v>
      </c>
      <c r="Q1079" t="s">
        <v>255</v>
      </c>
      <c r="R1079" t="s">
        <v>337</v>
      </c>
      <c r="S1079" s="7">
        <v>80027</v>
      </c>
      <c r="T1079" s="3">
        <v>42174</v>
      </c>
      <c r="U1079" s="3">
        <v>42176</v>
      </c>
      <c r="V1079" s="4">
        <v>-50.244999999999997</v>
      </c>
      <c r="W1079">
        <v>19</v>
      </c>
      <c r="X1079">
        <v>746.91</v>
      </c>
      <c r="Y1079" s="7">
        <v>89820</v>
      </c>
    </row>
    <row r="1080" spans="1:25" ht="12.75" customHeight="1">
      <c r="A1080">
        <v>21638</v>
      </c>
      <c r="B1080" t="s">
        <v>25</v>
      </c>
      <c r="C1080" s="4">
        <v>0.09</v>
      </c>
      <c r="D1080" s="8">
        <v>77.510000000000005</v>
      </c>
      <c r="E1080" s="4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 s="5">
        <v>0.76</v>
      </c>
      <c r="O1080" t="s">
        <v>33</v>
      </c>
      <c r="P1080" t="s">
        <v>61</v>
      </c>
      <c r="Q1080" t="s">
        <v>506</v>
      </c>
      <c r="R1080" t="s">
        <v>1564</v>
      </c>
      <c r="S1080" s="7">
        <v>63130</v>
      </c>
      <c r="T1080" s="3">
        <v>42101</v>
      </c>
      <c r="U1080" s="3">
        <v>42103</v>
      </c>
      <c r="V1080" s="4">
        <v>-387.1044</v>
      </c>
      <c r="W1080">
        <v>1</v>
      </c>
      <c r="X1080">
        <v>77.47</v>
      </c>
      <c r="Y1080" s="7">
        <v>89818</v>
      </c>
    </row>
    <row r="1081" spans="1:25" ht="12.75" customHeight="1">
      <c r="A1081">
        <v>24640</v>
      </c>
      <c r="B1081" t="s">
        <v>106</v>
      </c>
      <c r="C1081" s="4">
        <v>0.09</v>
      </c>
      <c r="D1081" s="8">
        <v>30.98</v>
      </c>
      <c r="E1081" s="4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 s="5">
        <v>0.64</v>
      </c>
      <c r="O1081" t="s">
        <v>33</v>
      </c>
      <c r="P1081" t="s">
        <v>34</v>
      </c>
      <c r="Q1081" t="s">
        <v>102</v>
      </c>
      <c r="R1081" t="s">
        <v>906</v>
      </c>
      <c r="S1081" s="7">
        <v>97068</v>
      </c>
      <c r="T1081" s="3">
        <v>42173</v>
      </c>
      <c r="U1081" s="3">
        <v>42177</v>
      </c>
      <c r="V1081" s="4">
        <v>-55.97</v>
      </c>
      <c r="W1081">
        <v>7</v>
      </c>
      <c r="X1081">
        <v>204.34</v>
      </c>
      <c r="Y1081" s="7">
        <v>89819</v>
      </c>
    </row>
    <row r="1082" spans="1:25" ht="12.75" customHeight="1">
      <c r="A1082">
        <v>3956</v>
      </c>
      <c r="B1082" t="s">
        <v>47</v>
      </c>
      <c r="C1082" s="4">
        <v>0</v>
      </c>
      <c r="D1082" s="8">
        <v>20.28</v>
      </c>
      <c r="E1082" s="4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 s="5">
        <v>0.47</v>
      </c>
      <c r="O1082" t="s">
        <v>33</v>
      </c>
      <c r="P1082" t="s">
        <v>136</v>
      </c>
      <c r="Q1082" t="s">
        <v>362</v>
      </c>
      <c r="R1082" t="s">
        <v>447</v>
      </c>
      <c r="S1082" s="7">
        <v>33916</v>
      </c>
      <c r="T1082" s="3">
        <v>42026</v>
      </c>
      <c r="U1082" s="3">
        <v>42026</v>
      </c>
      <c r="V1082" s="4">
        <v>-66.247299999999996</v>
      </c>
      <c r="W1082">
        <v>9</v>
      </c>
      <c r="X1082">
        <v>206.04</v>
      </c>
      <c r="Y1082" s="7">
        <v>28225</v>
      </c>
    </row>
    <row r="1083" spans="1:25" ht="12.75" customHeight="1">
      <c r="A1083">
        <v>3684</v>
      </c>
      <c r="B1083" t="s">
        <v>106</v>
      </c>
      <c r="C1083" s="4">
        <v>0.02</v>
      </c>
      <c r="D1083" s="8">
        <v>9.99</v>
      </c>
      <c r="E1083" s="4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 s="5">
        <v>0.4</v>
      </c>
      <c r="O1083" t="s">
        <v>33</v>
      </c>
      <c r="P1083" t="s">
        <v>136</v>
      </c>
      <c r="Q1083" t="s">
        <v>362</v>
      </c>
      <c r="R1083" t="s">
        <v>447</v>
      </c>
      <c r="S1083" s="7">
        <v>33916</v>
      </c>
      <c r="T1083" s="3">
        <v>42112</v>
      </c>
      <c r="U1083" s="3">
        <v>42121</v>
      </c>
      <c r="V1083" s="4">
        <v>-171.15770000000001</v>
      </c>
      <c r="W1083">
        <v>43</v>
      </c>
      <c r="X1083">
        <v>475.42</v>
      </c>
      <c r="Y1083" s="7">
        <v>26342</v>
      </c>
    </row>
    <row r="1084" spans="1:25" ht="12.75" customHeight="1">
      <c r="A1084">
        <v>3685</v>
      </c>
      <c r="B1084" t="s">
        <v>106</v>
      </c>
      <c r="C1084" s="4">
        <v>0.02</v>
      </c>
      <c r="D1084" s="8">
        <v>48.04</v>
      </c>
      <c r="E1084" s="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 s="5">
        <v>0.37</v>
      </c>
      <c r="O1084" t="s">
        <v>33</v>
      </c>
      <c r="P1084" t="s">
        <v>136</v>
      </c>
      <c r="Q1084" t="s">
        <v>362</v>
      </c>
      <c r="R1084" t="s">
        <v>447</v>
      </c>
      <c r="S1084" s="7">
        <v>33916</v>
      </c>
      <c r="T1084" s="3">
        <v>42112</v>
      </c>
      <c r="U1084" s="3">
        <v>42117</v>
      </c>
      <c r="V1084" s="4">
        <v>624.23900000000003</v>
      </c>
      <c r="W1084">
        <v>74</v>
      </c>
      <c r="X1084">
        <v>3598.82</v>
      </c>
      <c r="Y1084" s="7">
        <v>26342</v>
      </c>
    </row>
    <row r="1085" spans="1:25" ht="12.75" customHeight="1">
      <c r="A1085">
        <v>3686</v>
      </c>
      <c r="B1085" t="s">
        <v>106</v>
      </c>
      <c r="C1085" s="4">
        <v>0.04</v>
      </c>
      <c r="D1085" s="8">
        <v>6.68</v>
      </c>
      <c r="E1085" s="4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 s="5">
        <v>0.37</v>
      </c>
      <c r="O1085" t="s">
        <v>33</v>
      </c>
      <c r="P1085" t="s">
        <v>136</v>
      </c>
      <c r="Q1085" t="s">
        <v>362</v>
      </c>
      <c r="R1085" t="s">
        <v>447</v>
      </c>
      <c r="S1085" s="7">
        <v>33916</v>
      </c>
      <c r="T1085" s="3">
        <v>42112</v>
      </c>
      <c r="U1085" s="3">
        <v>42119</v>
      </c>
      <c r="V1085" s="4">
        <v>-14.3241</v>
      </c>
      <c r="W1085">
        <v>5</v>
      </c>
      <c r="X1085">
        <v>41.22</v>
      </c>
      <c r="Y1085" s="7">
        <v>26342</v>
      </c>
    </row>
    <row r="1086" spans="1:25" ht="12.75" customHeight="1">
      <c r="A1086">
        <v>21685</v>
      </c>
      <c r="B1086" t="s">
        <v>106</v>
      </c>
      <c r="C1086" s="4">
        <v>0.02</v>
      </c>
      <c r="D1086" s="8">
        <v>48.04</v>
      </c>
      <c r="E1086" s="4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 s="5">
        <v>0.37</v>
      </c>
      <c r="O1086" t="s">
        <v>33</v>
      </c>
      <c r="P1086" t="s">
        <v>61</v>
      </c>
      <c r="Q1086" t="s">
        <v>300</v>
      </c>
      <c r="R1086" t="s">
        <v>1913</v>
      </c>
      <c r="S1086" s="7">
        <v>48601</v>
      </c>
      <c r="T1086" s="3">
        <v>42112</v>
      </c>
      <c r="U1086" s="3">
        <v>42117</v>
      </c>
      <c r="V1086" s="4">
        <v>604.01909999999998</v>
      </c>
      <c r="W1086">
        <v>18</v>
      </c>
      <c r="X1086">
        <v>875.39</v>
      </c>
      <c r="Y1086" s="7">
        <v>88857</v>
      </c>
    </row>
    <row r="1087" spans="1:25" ht="12.75" customHeight="1">
      <c r="A1087">
        <v>21686</v>
      </c>
      <c r="B1087" t="s">
        <v>106</v>
      </c>
      <c r="C1087" s="4">
        <v>0.04</v>
      </c>
      <c r="D1087" s="8">
        <v>6.68</v>
      </c>
      <c r="E1087" s="4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 s="5">
        <v>0.37</v>
      </c>
      <c r="O1087" t="s">
        <v>33</v>
      </c>
      <c r="P1087" t="s">
        <v>61</v>
      </c>
      <c r="Q1087" t="s">
        <v>300</v>
      </c>
      <c r="R1087" t="s">
        <v>1913</v>
      </c>
      <c r="S1087" s="7">
        <v>48601</v>
      </c>
      <c r="T1087" s="3">
        <v>42112</v>
      </c>
      <c r="U1087" s="3">
        <v>42119</v>
      </c>
      <c r="V1087" s="4">
        <v>-11.631599999999999</v>
      </c>
      <c r="W1087">
        <v>1</v>
      </c>
      <c r="X1087">
        <v>8.24</v>
      </c>
      <c r="Y1087" s="7">
        <v>88857</v>
      </c>
    </row>
    <row r="1088" spans="1:25" ht="12.75" customHeight="1">
      <c r="A1088">
        <v>22488</v>
      </c>
      <c r="B1088" t="s">
        <v>56</v>
      </c>
      <c r="C1088" s="4">
        <v>0.01</v>
      </c>
      <c r="D1088" s="8">
        <v>78.650000000000006</v>
      </c>
      <c r="E1088" s="4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 s="5">
        <v>0.52</v>
      </c>
      <c r="O1088" t="s">
        <v>33</v>
      </c>
      <c r="P1088" t="s">
        <v>61</v>
      </c>
      <c r="Q1088" t="s">
        <v>330</v>
      </c>
      <c r="R1088" t="s">
        <v>1573</v>
      </c>
      <c r="S1088" s="7">
        <v>52732</v>
      </c>
      <c r="T1088" s="3">
        <v>42081</v>
      </c>
      <c r="U1088" s="3">
        <v>42082</v>
      </c>
      <c r="V1088" s="4">
        <v>442.36589999999995</v>
      </c>
      <c r="W1088">
        <v>8</v>
      </c>
      <c r="X1088">
        <v>641.11</v>
      </c>
      <c r="Y1088" s="7">
        <v>89456</v>
      </c>
    </row>
    <row r="1089" spans="1:25" ht="12.75" customHeight="1">
      <c r="A1089">
        <v>26220</v>
      </c>
      <c r="B1089" t="s">
        <v>56</v>
      </c>
      <c r="C1089" s="4">
        <v>0.02</v>
      </c>
      <c r="D1089" s="8">
        <v>11.58</v>
      </c>
      <c r="E1089" s="4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 s="5">
        <v>0.35</v>
      </c>
      <c r="O1089" t="s">
        <v>33</v>
      </c>
      <c r="P1089" t="s">
        <v>136</v>
      </c>
      <c r="Q1089" t="s">
        <v>671</v>
      </c>
      <c r="R1089" t="s">
        <v>1916</v>
      </c>
      <c r="S1089" s="7">
        <v>38801</v>
      </c>
      <c r="T1089" s="3">
        <v>42022</v>
      </c>
      <c r="U1089" s="3">
        <v>42023</v>
      </c>
      <c r="V1089" s="4">
        <v>-259.75599999999997</v>
      </c>
      <c r="W1089">
        <v>3</v>
      </c>
      <c r="X1089">
        <v>35.479999999999997</v>
      </c>
      <c r="Y1089" s="7">
        <v>91550</v>
      </c>
    </row>
    <row r="1090" spans="1:25" ht="12.75" customHeight="1">
      <c r="A1090">
        <v>26223</v>
      </c>
      <c r="B1090" t="s">
        <v>56</v>
      </c>
      <c r="C1090" s="4">
        <v>0.05</v>
      </c>
      <c r="D1090" s="8">
        <v>350.99</v>
      </c>
      <c r="E1090" s="4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 s="5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 s="7">
        <v>19090</v>
      </c>
      <c r="T1090" s="3">
        <v>42022</v>
      </c>
      <c r="U1090" s="3">
        <v>42024</v>
      </c>
      <c r="V1090" s="4">
        <v>1469.7275999999999</v>
      </c>
      <c r="W1090">
        <v>6</v>
      </c>
      <c r="X1090">
        <v>2130.04</v>
      </c>
      <c r="Y1090" s="7">
        <v>91550</v>
      </c>
    </row>
    <row r="1091" spans="1:25" ht="12.75" customHeight="1">
      <c r="A1091">
        <v>26224</v>
      </c>
      <c r="B1091" t="s">
        <v>56</v>
      </c>
      <c r="C1091" s="4">
        <v>0.04</v>
      </c>
      <c r="D1091" s="8">
        <v>15.99</v>
      </c>
      <c r="E1091" s="4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 s="5">
        <v>0.49</v>
      </c>
      <c r="O1091" t="s">
        <v>33</v>
      </c>
      <c r="P1091" t="s">
        <v>53</v>
      </c>
      <c r="Q1091" t="s">
        <v>234</v>
      </c>
      <c r="R1091" t="s">
        <v>1918</v>
      </c>
      <c r="S1091" s="7">
        <v>19090</v>
      </c>
      <c r="T1091" s="3">
        <v>42022</v>
      </c>
      <c r="U1091" s="3">
        <v>42024</v>
      </c>
      <c r="V1091" s="4">
        <v>-83.553060000000002</v>
      </c>
      <c r="W1091">
        <v>5</v>
      </c>
      <c r="X1091">
        <v>82.8</v>
      </c>
      <c r="Y1091" s="7">
        <v>91550</v>
      </c>
    </row>
    <row r="1092" spans="1:25" ht="12.75" customHeight="1">
      <c r="A1092">
        <v>18795</v>
      </c>
      <c r="B1092" t="s">
        <v>56</v>
      </c>
      <c r="C1092" s="4">
        <v>0.09</v>
      </c>
      <c r="D1092" s="8">
        <v>20.48</v>
      </c>
      <c r="E1092" s="4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 s="5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 s="7">
        <v>48127</v>
      </c>
      <c r="T1092" s="3">
        <v>42144</v>
      </c>
      <c r="U1092" s="3">
        <v>42145</v>
      </c>
      <c r="V1092" s="4">
        <v>-16.89</v>
      </c>
      <c r="W1092">
        <v>5</v>
      </c>
      <c r="X1092">
        <v>99.02</v>
      </c>
      <c r="Y1092" s="7">
        <v>89040</v>
      </c>
    </row>
    <row r="1093" spans="1:25" ht="12.75" customHeight="1">
      <c r="A1093">
        <v>18796</v>
      </c>
      <c r="B1093" t="s">
        <v>56</v>
      </c>
      <c r="C1093" s="4">
        <v>0.06</v>
      </c>
      <c r="D1093" s="8">
        <v>15.67</v>
      </c>
      <c r="E1093" s="4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 s="5">
        <v>0.38</v>
      </c>
      <c r="O1093" t="s">
        <v>33</v>
      </c>
      <c r="P1093" t="s">
        <v>61</v>
      </c>
      <c r="Q1093" t="s">
        <v>300</v>
      </c>
      <c r="R1093" t="s">
        <v>1921</v>
      </c>
      <c r="S1093" s="7">
        <v>48127</v>
      </c>
      <c r="T1093" s="3">
        <v>42144</v>
      </c>
      <c r="U1093" s="3">
        <v>42145</v>
      </c>
      <c r="V1093" s="4">
        <v>25.51</v>
      </c>
      <c r="W1093">
        <v>3</v>
      </c>
      <c r="X1093">
        <v>46.4</v>
      </c>
      <c r="Y1093" s="7">
        <v>89040</v>
      </c>
    </row>
    <row r="1094" spans="1:25" ht="12.75" customHeight="1">
      <c r="A1094">
        <v>25731</v>
      </c>
      <c r="B1094" t="s">
        <v>47</v>
      </c>
      <c r="C1094" s="4">
        <v>0.05</v>
      </c>
      <c r="D1094" s="8">
        <v>70.98</v>
      </c>
      <c r="E1094" s="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 s="5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 s="7">
        <v>48823</v>
      </c>
      <c r="T1094" s="3">
        <v>42014</v>
      </c>
      <c r="U1094" s="3">
        <v>42015</v>
      </c>
      <c r="V1094" s="4">
        <v>-850.65239999999994</v>
      </c>
      <c r="W1094">
        <v>8</v>
      </c>
      <c r="X1094">
        <v>551.51</v>
      </c>
      <c r="Y1094" s="7">
        <v>89039</v>
      </c>
    </row>
    <row r="1095" spans="1:25" ht="12.75" customHeight="1">
      <c r="A1095">
        <v>25732</v>
      </c>
      <c r="B1095" t="s">
        <v>47</v>
      </c>
      <c r="C1095" s="4">
        <v>0.05</v>
      </c>
      <c r="D1095" s="8">
        <v>11.55</v>
      </c>
      <c r="E1095" s="4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 s="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 s="7">
        <v>48823</v>
      </c>
      <c r="T1095" s="3">
        <v>42014</v>
      </c>
      <c r="U1095" s="3">
        <v>42016</v>
      </c>
      <c r="V1095" s="4">
        <v>98.525099999999981</v>
      </c>
      <c r="W1095">
        <v>12</v>
      </c>
      <c r="X1095">
        <v>142.79</v>
      </c>
      <c r="Y1095" s="7">
        <v>89039</v>
      </c>
    </row>
    <row r="1096" spans="1:25" ht="12.75" customHeight="1">
      <c r="A1096">
        <v>24887</v>
      </c>
      <c r="B1096" t="s">
        <v>47</v>
      </c>
      <c r="C1096" s="4">
        <v>0.06</v>
      </c>
      <c r="D1096" s="8">
        <v>40.99</v>
      </c>
      <c r="E1096" s="4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 s="5">
        <v>0.36</v>
      </c>
      <c r="O1096" t="s">
        <v>33</v>
      </c>
      <c r="P1096" t="s">
        <v>61</v>
      </c>
      <c r="Q1096" t="s">
        <v>300</v>
      </c>
      <c r="R1096" t="s">
        <v>1923</v>
      </c>
      <c r="S1096" s="7">
        <v>48823</v>
      </c>
      <c r="T1096" s="3">
        <v>42086</v>
      </c>
      <c r="U1096" s="3">
        <v>42088</v>
      </c>
      <c r="V1096" s="4">
        <v>214.23</v>
      </c>
      <c r="W1096">
        <v>14</v>
      </c>
      <c r="X1096">
        <v>585.08000000000004</v>
      </c>
      <c r="Y1096" s="7">
        <v>89041</v>
      </c>
    </row>
    <row r="1097" spans="1:25" ht="12.75" customHeight="1">
      <c r="A1097">
        <v>21692</v>
      </c>
      <c r="B1097" t="s">
        <v>37</v>
      </c>
      <c r="C1097" s="4">
        <v>0.05</v>
      </c>
      <c r="D1097" s="8">
        <v>20.99</v>
      </c>
      <c r="E1097" s="4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 s="5">
        <v>0.81</v>
      </c>
      <c r="O1097" t="s">
        <v>33</v>
      </c>
      <c r="P1097" t="s">
        <v>34</v>
      </c>
      <c r="Q1097" t="s">
        <v>255</v>
      </c>
      <c r="R1097" t="s">
        <v>1925</v>
      </c>
      <c r="S1097" s="7">
        <v>80122</v>
      </c>
      <c r="T1097" s="3">
        <v>42129</v>
      </c>
      <c r="U1097" s="3">
        <v>42130</v>
      </c>
      <c r="V1097" s="4">
        <v>21.883400000000023</v>
      </c>
      <c r="W1097">
        <v>4</v>
      </c>
      <c r="X1097">
        <v>72.75</v>
      </c>
      <c r="Y1097" s="7">
        <v>87757</v>
      </c>
    </row>
    <row r="1098" spans="1:25" ht="12.75" customHeight="1">
      <c r="A1098">
        <v>24935</v>
      </c>
      <c r="B1098" t="s">
        <v>37</v>
      </c>
      <c r="C1098" s="4">
        <v>0.1</v>
      </c>
      <c r="D1098" s="8">
        <v>7.37</v>
      </c>
      <c r="E1098" s="4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 s="5">
        <v>0.69</v>
      </c>
      <c r="O1098" t="s">
        <v>33</v>
      </c>
      <c r="P1098" t="s">
        <v>136</v>
      </c>
      <c r="Q1098" t="s">
        <v>932</v>
      </c>
      <c r="R1098" t="s">
        <v>933</v>
      </c>
      <c r="S1098" s="7">
        <v>29915</v>
      </c>
      <c r="T1098" s="3">
        <v>42140</v>
      </c>
      <c r="U1098" s="3">
        <v>42140</v>
      </c>
      <c r="V1098" s="4">
        <v>290.202</v>
      </c>
      <c r="W1098">
        <v>38</v>
      </c>
      <c r="X1098">
        <v>269.33</v>
      </c>
      <c r="Y1098" s="7">
        <v>91258</v>
      </c>
    </row>
    <row r="1099" spans="1:25" ht="12.75" customHeight="1">
      <c r="A1099">
        <v>20568</v>
      </c>
      <c r="B1099" t="s">
        <v>37</v>
      </c>
      <c r="C1099" s="4">
        <v>0.01</v>
      </c>
      <c r="D1099" s="8">
        <v>15.31</v>
      </c>
      <c r="E1099" s="4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 s="5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 s="7">
        <v>79701</v>
      </c>
      <c r="T1099" s="3">
        <v>42130</v>
      </c>
      <c r="U1099" s="3">
        <v>42131</v>
      </c>
      <c r="V1099" s="4">
        <v>12.146000000000008</v>
      </c>
      <c r="W1099">
        <v>23</v>
      </c>
      <c r="X1099">
        <v>377</v>
      </c>
      <c r="Y1099" s="7">
        <v>90888</v>
      </c>
    </row>
    <row r="1100" spans="1:25" ht="12.75" customHeight="1">
      <c r="A1100">
        <v>20569</v>
      </c>
      <c r="B1100" t="s">
        <v>37</v>
      </c>
      <c r="C1100" s="4">
        <v>0.05</v>
      </c>
      <c r="D1100" s="8">
        <v>7.99</v>
      </c>
      <c r="E1100" s="4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 s="5">
        <v>0.6</v>
      </c>
      <c r="O1100" t="s">
        <v>33</v>
      </c>
      <c r="P1100" t="s">
        <v>61</v>
      </c>
      <c r="Q1100" t="s">
        <v>130</v>
      </c>
      <c r="R1100" t="s">
        <v>1929</v>
      </c>
      <c r="S1100" s="7">
        <v>79701</v>
      </c>
      <c r="T1100" s="3">
        <v>42130</v>
      </c>
      <c r="U1100" s="3">
        <v>42132</v>
      </c>
      <c r="V1100" s="4">
        <v>5.6870000000000083</v>
      </c>
      <c r="W1100">
        <v>4</v>
      </c>
      <c r="X1100">
        <v>42.99</v>
      </c>
      <c r="Y1100" s="7">
        <v>90888</v>
      </c>
    </row>
    <row r="1101" spans="1:25" ht="12.75" customHeight="1">
      <c r="A1101">
        <v>19336</v>
      </c>
      <c r="B1101" t="s">
        <v>25</v>
      </c>
      <c r="C1101" s="4">
        <v>0.05</v>
      </c>
      <c r="D1101" s="8">
        <v>20.98</v>
      </c>
      <c r="E1101" s="4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 s="5">
        <v>0.78</v>
      </c>
      <c r="O1101" t="s">
        <v>33</v>
      </c>
      <c r="P1101" t="s">
        <v>34</v>
      </c>
      <c r="Q1101" t="s">
        <v>212</v>
      </c>
      <c r="R1101" t="s">
        <v>1895</v>
      </c>
      <c r="S1101" s="7">
        <v>84020</v>
      </c>
      <c r="T1101" s="3">
        <v>42007</v>
      </c>
      <c r="U1101" s="3">
        <v>42008</v>
      </c>
      <c r="V1101" s="4">
        <v>-181.102</v>
      </c>
      <c r="W1101">
        <v>3</v>
      </c>
      <c r="X1101">
        <v>65.69</v>
      </c>
      <c r="Y1101" s="7">
        <v>89999</v>
      </c>
    </row>
    <row r="1102" spans="1:25" ht="12.75" customHeight="1">
      <c r="A1102">
        <v>22600</v>
      </c>
      <c r="B1102" t="s">
        <v>37</v>
      </c>
      <c r="C1102" s="4">
        <v>0.04</v>
      </c>
      <c r="D1102" s="8">
        <v>355.98</v>
      </c>
      <c r="E1102" s="4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 s="5">
        <v>0.64</v>
      </c>
      <c r="O1102" t="s">
        <v>33</v>
      </c>
      <c r="P1102" t="s">
        <v>34</v>
      </c>
      <c r="Q1102" t="s">
        <v>212</v>
      </c>
      <c r="R1102" t="s">
        <v>1933</v>
      </c>
      <c r="S1102" s="7">
        <v>84117</v>
      </c>
      <c r="T1102" s="3">
        <v>42025</v>
      </c>
      <c r="U1102" s="3">
        <v>42026</v>
      </c>
      <c r="V1102" s="4">
        <v>882.93000000000006</v>
      </c>
      <c r="W1102">
        <v>8</v>
      </c>
      <c r="X1102">
        <v>2748.21</v>
      </c>
      <c r="Y1102" s="7">
        <v>90000</v>
      </c>
    </row>
    <row r="1103" spans="1:25" ht="12.75" customHeight="1">
      <c r="A1103">
        <v>22601</v>
      </c>
      <c r="B1103" t="s">
        <v>37</v>
      </c>
      <c r="C1103" s="4">
        <v>0.09</v>
      </c>
      <c r="D1103" s="8">
        <v>19.98</v>
      </c>
      <c r="E1103" s="4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 s="5">
        <v>0.37</v>
      </c>
      <c r="O1103" t="s">
        <v>33</v>
      </c>
      <c r="P1103" t="s">
        <v>34</v>
      </c>
      <c r="Q1103" t="s">
        <v>212</v>
      </c>
      <c r="R1103" t="s">
        <v>1933</v>
      </c>
      <c r="S1103" s="7">
        <v>84117</v>
      </c>
      <c r="T1103" s="3">
        <v>42025</v>
      </c>
      <c r="U1103" s="3">
        <v>42026</v>
      </c>
      <c r="V1103" s="4">
        <v>6.6803999999999988</v>
      </c>
      <c r="W1103">
        <v>5</v>
      </c>
      <c r="X1103">
        <v>93.19</v>
      </c>
      <c r="Y1103" s="7">
        <v>90000</v>
      </c>
    </row>
    <row r="1104" spans="1:25" ht="12.75" customHeight="1">
      <c r="A1104">
        <v>20554</v>
      </c>
      <c r="B1104" t="s">
        <v>25</v>
      </c>
      <c r="C1104" s="4">
        <v>0.01</v>
      </c>
      <c r="D1104" s="8">
        <v>30.98</v>
      </c>
      <c r="E1104" s="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 s="5">
        <v>0.64</v>
      </c>
      <c r="O1104" t="s">
        <v>33</v>
      </c>
      <c r="P1104" t="s">
        <v>34</v>
      </c>
      <c r="Q1104" t="s">
        <v>212</v>
      </c>
      <c r="R1104" t="s">
        <v>1933</v>
      </c>
      <c r="S1104" s="7">
        <v>84117</v>
      </c>
      <c r="T1104" s="3">
        <v>42139</v>
      </c>
      <c r="U1104" s="3">
        <v>42140</v>
      </c>
      <c r="V1104" s="4">
        <v>46.29</v>
      </c>
      <c r="W1104">
        <v>11</v>
      </c>
      <c r="X1104">
        <v>363.37</v>
      </c>
      <c r="Y1104" s="7">
        <v>90001</v>
      </c>
    </row>
    <row r="1105" spans="1:25" ht="12.75" customHeight="1">
      <c r="A1105">
        <v>20555</v>
      </c>
      <c r="B1105" t="s">
        <v>25</v>
      </c>
      <c r="C1105" s="4">
        <v>0.01</v>
      </c>
      <c r="D1105" s="8">
        <v>40.99</v>
      </c>
      <c r="E1105" s="4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 s="5">
        <v>0.36</v>
      </c>
      <c r="O1105" t="s">
        <v>33</v>
      </c>
      <c r="P1105" t="s">
        <v>34</v>
      </c>
      <c r="Q1105" t="s">
        <v>212</v>
      </c>
      <c r="R1105" t="s">
        <v>1933</v>
      </c>
      <c r="S1105" s="7">
        <v>84117</v>
      </c>
      <c r="T1105" s="3">
        <v>42139</v>
      </c>
      <c r="U1105" s="3">
        <v>42142</v>
      </c>
      <c r="V1105" s="4">
        <v>177.79</v>
      </c>
      <c r="W1105">
        <v>11</v>
      </c>
      <c r="X1105">
        <v>480.75</v>
      </c>
      <c r="Y1105" s="7">
        <v>90001</v>
      </c>
    </row>
    <row r="1106" spans="1:25" ht="12.75" customHeight="1">
      <c r="A1106">
        <v>21723</v>
      </c>
      <c r="B1106" t="s">
        <v>56</v>
      </c>
      <c r="C1106" s="4">
        <v>0.1</v>
      </c>
      <c r="D1106" s="8">
        <v>1.6</v>
      </c>
      <c r="E1106" s="4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 s="5">
        <v>0.42</v>
      </c>
      <c r="O1106" t="s">
        <v>33</v>
      </c>
      <c r="P1106" t="s">
        <v>34</v>
      </c>
      <c r="Q1106" t="s">
        <v>212</v>
      </c>
      <c r="R1106" t="s">
        <v>1933</v>
      </c>
      <c r="S1106" s="7">
        <v>84117</v>
      </c>
      <c r="T1106" s="3">
        <v>42124</v>
      </c>
      <c r="U1106" s="3">
        <v>42124</v>
      </c>
      <c r="V1106" s="4">
        <v>-14.990400000000001</v>
      </c>
      <c r="W1106">
        <v>11</v>
      </c>
      <c r="X1106">
        <v>16.88</v>
      </c>
      <c r="Y1106" s="7">
        <v>90003</v>
      </c>
    </row>
    <row r="1107" spans="1:25" ht="12.75" customHeight="1">
      <c r="A1107">
        <v>25417</v>
      </c>
      <c r="B1107" t="s">
        <v>56</v>
      </c>
      <c r="C1107" s="4">
        <v>0</v>
      </c>
      <c r="D1107" s="8">
        <v>47.9</v>
      </c>
      <c r="E1107" s="4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 s="5">
        <v>0.37</v>
      </c>
      <c r="O1107" t="s">
        <v>33</v>
      </c>
      <c r="P1107" t="s">
        <v>34</v>
      </c>
      <c r="Q1107" t="s">
        <v>212</v>
      </c>
      <c r="R1107" t="s">
        <v>1938</v>
      </c>
      <c r="S1107" s="7">
        <v>84118</v>
      </c>
      <c r="T1107" s="3">
        <v>42057</v>
      </c>
      <c r="U1107" s="3">
        <v>42059</v>
      </c>
      <c r="V1107" s="4">
        <v>638.38109999999995</v>
      </c>
      <c r="W1107">
        <v>18</v>
      </c>
      <c r="X1107">
        <v>925.19</v>
      </c>
      <c r="Y1107" s="7">
        <v>90002</v>
      </c>
    </row>
    <row r="1108" spans="1:25" ht="12.75" customHeight="1">
      <c r="A1108">
        <v>19797</v>
      </c>
      <c r="B1108" t="s">
        <v>37</v>
      </c>
      <c r="C1108" s="4">
        <v>0.1</v>
      </c>
      <c r="D1108" s="8">
        <v>125.99</v>
      </c>
      <c r="E1108" s="4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 s="5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 s="7">
        <v>29915</v>
      </c>
      <c r="T1108" s="3">
        <v>42029</v>
      </c>
      <c r="U1108" s="3">
        <v>42032</v>
      </c>
      <c r="V1108" s="4">
        <v>17.652000000000001</v>
      </c>
      <c r="W1108">
        <v>4</v>
      </c>
      <c r="X1108">
        <v>408.66</v>
      </c>
      <c r="Y1108" s="7">
        <v>90333</v>
      </c>
    </row>
    <row r="1109" spans="1:25" ht="12.75" customHeight="1">
      <c r="A1109">
        <v>19581</v>
      </c>
      <c r="B1109" t="s">
        <v>56</v>
      </c>
      <c r="C1109" s="4">
        <v>0.01</v>
      </c>
      <c r="D1109" s="8">
        <v>16.48</v>
      </c>
      <c r="E1109" s="4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 s="5">
        <v>0.42</v>
      </c>
      <c r="O1109" t="s">
        <v>33</v>
      </c>
      <c r="P1109" t="s">
        <v>136</v>
      </c>
      <c r="Q1109" t="s">
        <v>932</v>
      </c>
      <c r="R1109" t="s">
        <v>933</v>
      </c>
      <c r="S1109" s="7">
        <v>29915</v>
      </c>
      <c r="T1109" s="3">
        <v>42131</v>
      </c>
      <c r="U1109" s="3">
        <v>42132</v>
      </c>
      <c r="V1109" s="4">
        <v>739.67399999999998</v>
      </c>
      <c r="W1109">
        <v>7</v>
      </c>
      <c r="X1109">
        <v>122.93</v>
      </c>
      <c r="Y1109" s="7">
        <v>90334</v>
      </c>
    </row>
    <row r="1110" spans="1:25" ht="12.75" customHeight="1">
      <c r="A1110">
        <v>21003</v>
      </c>
      <c r="B1110" t="s">
        <v>106</v>
      </c>
      <c r="C1110" s="4">
        <v>0</v>
      </c>
      <c r="D1110" s="8">
        <v>24.92</v>
      </c>
      <c r="E1110" s="4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 s="5">
        <v>0.39</v>
      </c>
      <c r="O1110" t="s">
        <v>33</v>
      </c>
      <c r="P1110" t="s">
        <v>136</v>
      </c>
      <c r="Q1110" t="s">
        <v>932</v>
      </c>
      <c r="R1110" t="s">
        <v>933</v>
      </c>
      <c r="S1110" s="7">
        <v>29915</v>
      </c>
      <c r="T1110" s="3">
        <v>42157</v>
      </c>
      <c r="U1110" s="3">
        <v>42157</v>
      </c>
      <c r="V1110" s="4">
        <v>-23.155999999999999</v>
      </c>
      <c r="W1110">
        <v>1</v>
      </c>
      <c r="X1110">
        <v>32.659999999999997</v>
      </c>
      <c r="Y1110" s="7">
        <v>90335</v>
      </c>
    </row>
    <row r="1111" spans="1:25" ht="12.75" customHeight="1">
      <c r="A1111">
        <v>20392</v>
      </c>
      <c r="B1111" t="s">
        <v>37</v>
      </c>
      <c r="C1111" s="4">
        <v>0.06</v>
      </c>
      <c r="D1111" s="8">
        <v>4.42</v>
      </c>
      <c r="E1111" s="4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 s="5">
        <v>0.38</v>
      </c>
      <c r="O1111" t="s">
        <v>33</v>
      </c>
      <c r="P1111" t="s">
        <v>53</v>
      </c>
      <c r="Q1111" t="s">
        <v>71</v>
      </c>
      <c r="R1111" t="s">
        <v>1942</v>
      </c>
      <c r="S1111" s="7">
        <v>11758</v>
      </c>
      <c r="T1111" s="3">
        <v>42158</v>
      </c>
      <c r="U1111" s="3">
        <v>42160</v>
      </c>
      <c r="V1111" s="4">
        <v>-10.435</v>
      </c>
      <c r="W1111">
        <v>3</v>
      </c>
      <c r="X1111">
        <v>14.85</v>
      </c>
      <c r="Y1111" s="7">
        <v>90568</v>
      </c>
    </row>
    <row r="1112" spans="1:25" ht="12.75" customHeight="1">
      <c r="A1112">
        <v>24075</v>
      </c>
      <c r="B1112" t="s">
        <v>56</v>
      </c>
      <c r="C1112" s="4">
        <v>0.06</v>
      </c>
      <c r="D1112" s="8">
        <v>4.24</v>
      </c>
      <c r="E1112" s="4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 s="5">
        <v>0.35</v>
      </c>
      <c r="O1112" t="s">
        <v>33</v>
      </c>
      <c r="P1112" t="s">
        <v>34</v>
      </c>
      <c r="Q1112" t="s">
        <v>82</v>
      </c>
      <c r="R1112" t="s">
        <v>1901</v>
      </c>
      <c r="S1112" s="7">
        <v>59715</v>
      </c>
      <c r="T1112" s="3">
        <v>42111</v>
      </c>
      <c r="U1112" s="3">
        <v>42113</v>
      </c>
      <c r="V1112" s="4">
        <v>-78.916679999999999</v>
      </c>
      <c r="W1112">
        <v>10</v>
      </c>
      <c r="X1112">
        <v>45</v>
      </c>
      <c r="Y1112" s="7">
        <v>91277</v>
      </c>
    </row>
    <row r="1113" spans="1:25" ht="12.75" customHeight="1">
      <c r="A1113">
        <v>24076</v>
      </c>
      <c r="B1113" t="s">
        <v>56</v>
      </c>
      <c r="C1113" s="4">
        <v>0.04</v>
      </c>
      <c r="D1113" s="8">
        <v>6783.02</v>
      </c>
      <c r="E1113" s="4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 s="5">
        <v>0.39</v>
      </c>
      <c r="O1113" t="s">
        <v>33</v>
      </c>
      <c r="P1113" t="s">
        <v>34</v>
      </c>
      <c r="Q1113" t="s">
        <v>82</v>
      </c>
      <c r="R1113" t="s">
        <v>1901</v>
      </c>
      <c r="S1113" s="7">
        <v>59715</v>
      </c>
      <c r="T1113" s="3">
        <v>42111</v>
      </c>
      <c r="U1113" s="3">
        <v>42113</v>
      </c>
      <c r="V1113" s="4">
        <v>-13562.637407999999</v>
      </c>
      <c r="W1113">
        <v>1</v>
      </c>
      <c r="X1113">
        <v>6569.07</v>
      </c>
      <c r="Y1113" s="7">
        <v>91277</v>
      </c>
    </row>
    <row r="1114" spans="1:25" ht="12.75" customHeight="1">
      <c r="A1114">
        <v>25251</v>
      </c>
      <c r="B1114" t="s">
        <v>37</v>
      </c>
      <c r="C1114" s="4">
        <v>0.03</v>
      </c>
      <c r="D1114" s="8">
        <v>5.78</v>
      </c>
      <c r="E1114" s="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 s="5">
        <v>0.36</v>
      </c>
      <c r="O1114" t="s">
        <v>33</v>
      </c>
      <c r="P1114" t="s">
        <v>34</v>
      </c>
      <c r="Q1114" t="s">
        <v>255</v>
      </c>
      <c r="R1114" t="s">
        <v>1946</v>
      </c>
      <c r="S1114" s="7">
        <v>81301</v>
      </c>
      <c r="T1114" s="3">
        <v>42068</v>
      </c>
      <c r="U1114" s="3">
        <v>42069</v>
      </c>
      <c r="V1114" s="4">
        <v>-63.35</v>
      </c>
      <c r="W1114">
        <v>15</v>
      </c>
      <c r="X1114">
        <v>88.22</v>
      </c>
      <c r="Y1114" s="7">
        <v>88798</v>
      </c>
    </row>
    <row r="1115" spans="1:25" ht="12.75" customHeight="1">
      <c r="A1115">
        <v>20006</v>
      </c>
      <c r="B1115" t="s">
        <v>56</v>
      </c>
      <c r="C1115" s="4">
        <v>0.1</v>
      </c>
      <c r="D1115" s="8">
        <v>10.48</v>
      </c>
      <c r="E1115" s="4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 s="5">
        <v>0.6</v>
      </c>
      <c r="O1115" t="s">
        <v>33</v>
      </c>
      <c r="P1115" t="s">
        <v>61</v>
      </c>
      <c r="Q1115" t="s">
        <v>300</v>
      </c>
      <c r="R1115" t="s">
        <v>731</v>
      </c>
      <c r="S1115" s="7">
        <v>48195</v>
      </c>
      <c r="T1115" s="3">
        <v>42173</v>
      </c>
      <c r="U1115" s="3">
        <v>42174</v>
      </c>
      <c r="V1115" s="4">
        <v>-8.9039999999999999</v>
      </c>
      <c r="W1115">
        <v>4</v>
      </c>
      <c r="X1115">
        <v>40.29</v>
      </c>
      <c r="Y1115" s="7">
        <v>86874</v>
      </c>
    </row>
    <row r="1116" spans="1:25" ht="12.75" customHeight="1">
      <c r="A1116">
        <v>18989</v>
      </c>
      <c r="B1116" t="s">
        <v>25</v>
      </c>
      <c r="C1116" s="4">
        <v>7.0000000000000007E-2</v>
      </c>
      <c r="D1116" s="8">
        <v>39.479999999999997</v>
      </c>
      <c r="E1116" s="4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 s="5">
        <v>0.54</v>
      </c>
      <c r="O1116" t="s">
        <v>33</v>
      </c>
      <c r="P1116" t="s">
        <v>61</v>
      </c>
      <c r="Q1116" t="s">
        <v>330</v>
      </c>
      <c r="R1116" t="s">
        <v>1949</v>
      </c>
      <c r="S1116" s="7">
        <v>51503</v>
      </c>
      <c r="T1116" s="3">
        <v>42085</v>
      </c>
      <c r="U1116" s="3">
        <v>42087</v>
      </c>
      <c r="V1116" s="4">
        <v>88.72</v>
      </c>
      <c r="W1116">
        <v>4</v>
      </c>
      <c r="X1116">
        <v>151.27000000000001</v>
      </c>
      <c r="Y1116" s="7">
        <v>88367</v>
      </c>
    </row>
    <row r="1117" spans="1:25" ht="12.75" customHeight="1">
      <c r="A1117">
        <v>18990</v>
      </c>
      <c r="B1117" t="s">
        <v>25</v>
      </c>
      <c r="C1117" s="4">
        <v>0</v>
      </c>
      <c r="D1117" s="8">
        <v>4.91</v>
      </c>
      <c r="E1117" s="4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 s="5">
        <v>0.36</v>
      </c>
      <c r="O1117" t="s">
        <v>33</v>
      </c>
      <c r="P1117" t="s">
        <v>61</v>
      </c>
      <c r="Q1117" t="s">
        <v>330</v>
      </c>
      <c r="R1117" t="s">
        <v>1949</v>
      </c>
      <c r="S1117" s="7">
        <v>51503</v>
      </c>
      <c r="T1117" s="3">
        <v>42085</v>
      </c>
      <c r="U1117" s="3">
        <v>42087</v>
      </c>
      <c r="V1117" s="4">
        <v>7.2518999999999991</v>
      </c>
      <c r="W1117">
        <v>2</v>
      </c>
      <c r="X1117">
        <v>10.51</v>
      </c>
      <c r="Y1117" s="7">
        <v>88367</v>
      </c>
    </row>
    <row r="1118" spans="1:25" ht="12.75" customHeight="1">
      <c r="A1118">
        <v>21573</v>
      </c>
      <c r="B1118" t="s">
        <v>47</v>
      </c>
      <c r="C1118" s="4">
        <v>0.06</v>
      </c>
      <c r="D1118" s="8">
        <v>6.48</v>
      </c>
      <c r="E1118" s="4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 s="5">
        <v>0.37</v>
      </c>
      <c r="O1118" t="s">
        <v>33</v>
      </c>
      <c r="P1118" t="s">
        <v>61</v>
      </c>
      <c r="Q1118" t="s">
        <v>330</v>
      </c>
      <c r="R1118" t="s">
        <v>1949</v>
      </c>
      <c r="S1118" s="7">
        <v>51503</v>
      </c>
      <c r="T1118" s="3">
        <v>42098</v>
      </c>
      <c r="U1118" s="3">
        <v>42098</v>
      </c>
      <c r="V1118" s="4">
        <v>-191.49</v>
      </c>
      <c r="W1118">
        <v>12</v>
      </c>
      <c r="X1118">
        <v>74.930000000000007</v>
      </c>
      <c r="Y1118" s="7">
        <v>88368</v>
      </c>
    </row>
    <row r="1119" spans="1:25" ht="12.75" customHeight="1">
      <c r="A1119">
        <v>25557</v>
      </c>
      <c r="B1119" t="s">
        <v>47</v>
      </c>
      <c r="C1119" s="4">
        <v>0.02</v>
      </c>
      <c r="D1119" s="8">
        <v>120.98</v>
      </c>
      <c r="E1119" s="4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 s="5">
        <v>0.75</v>
      </c>
      <c r="O1119" t="s">
        <v>33</v>
      </c>
      <c r="P1119" t="s">
        <v>53</v>
      </c>
      <c r="Q1119" t="s">
        <v>234</v>
      </c>
      <c r="R1119" t="s">
        <v>1953</v>
      </c>
      <c r="S1119" s="7">
        <v>15239</v>
      </c>
      <c r="T1119" s="3">
        <v>42048</v>
      </c>
      <c r="U1119" s="3">
        <v>42050</v>
      </c>
      <c r="V1119" s="4">
        <v>-1330.5</v>
      </c>
      <c r="W1119">
        <v>11</v>
      </c>
      <c r="X1119">
        <v>1370.99</v>
      </c>
      <c r="Y1119" s="7">
        <v>86933</v>
      </c>
    </row>
    <row r="1120" spans="1:25" ht="12.75" customHeight="1">
      <c r="A1120">
        <v>22145</v>
      </c>
      <c r="B1120" t="s">
        <v>47</v>
      </c>
      <c r="C1120" s="4">
        <v>0.04</v>
      </c>
      <c r="D1120" s="8">
        <v>120.97</v>
      </c>
      <c r="E1120" s="4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 s="5">
        <v>0.36</v>
      </c>
      <c r="O1120" t="s">
        <v>33</v>
      </c>
      <c r="P1120" t="s">
        <v>61</v>
      </c>
      <c r="Q1120" t="s">
        <v>130</v>
      </c>
      <c r="R1120" t="s">
        <v>1576</v>
      </c>
      <c r="S1120" s="7">
        <v>75401</v>
      </c>
      <c r="T1120" s="3">
        <v>42080</v>
      </c>
      <c r="U1120" s="3">
        <v>42080</v>
      </c>
      <c r="V1120" s="4">
        <v>1320.5495999999998</v>
      </c>
      <c r="W1120">
        <v>16</v>
      </c>
      <c r="X1120">
        <v>1913.84</v>
      </c>
      <c r="Y1120" s="7">
        <v>91059</v>
      </c>
    </row>
    <row r="1121" spans="1:25" ht="12.75" customHeight="1">
      <c r="A1121">
        <v>22146</v>
      </c>
      <c r="B1121" t="s">
        <v>47</v>
      </c>
      <c r="C1121" s="4">
        <v>0</v>
      </c>
      <c r="D1121" s="8">
        <v>195.99</v>
      </c>
      <c r="E1121" s="4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 s="5">
        <v>0.6</v>
      </c>
      <c r="O1121" t="s">
        <v>33</v>
      </c>
      <c r="P1121" t="s">
        <v>61</v>
      </c>
      <c r="Q1121" t="s">
        <v>130</v>
      </c>
      <c r="R1121" t="s">
        <v>1576</v>
      </c>
      <c r="S1121" s="7">
        <v>75401</v>
      </c>
      <c r="T1121" s="3">
        <v>42080</v>
      </c>
      <c r="U1121" s="3">
        <v>42082</v>
      </c>
      <c r="V1121" s="4">
        <v>1585.5030000000002</v>
      </c>
      <c r="W1121">
        <v>16</v>
      </c>
      <c r="X1121">
        <v>2692.12</v>
      </c>
      <c r="Y1121" s="7">
        <v>91059</v>
      </c>
    </row>
    <row r="1122" spans="1:25" ht="12.75" customHeight="1">
      <c r="A1122">
        <v>20654</v>
      </c>
      <c r="B1122" t="s">
        <v>56</v>
      </c>
      <c r="C1122" s="4">
        <v>0.03</v>
      </c>
      <c r="D1122" s="8">
        <v>55.98</v>
      </c>
      <c r="E1122" s="4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 s="5">
        <v>0.36</v>
      </c>
      <c r="O1122" t="s">
        <v>33</v>
      </c>
      <c r="P1122" t="s">
        <v>61</v>
      </c>
      <c r="Q1122" t="s">
        <v>130</v>
      </c>
      <c r="R1122" t="s">
        <v>1576</v>
      </c>
      <c r="S1122" s="7">
        <v>75401</v>
      </c>
      <c r="T1122" s="3">
        <v>42081</v>
      </c>
      <c r="U1122" s="3">
        <v>42083</v>
      </c>
      <c r="V1122" s="4">
        <v>526.04219999999998</v>
      </c>
      <c r="W1122">
        <v>13</v>
      </c>
      <c r="X1122">
        <v>762.38</v>
      </c>
      <c r="Y1122" s="7">
        <v>91060</v>
      </c>
    </row>
    <row r="1123" spans="1:25" ht="12.75" customHeight="1">
      <c r="A1123">
        <v>25918</v>
      </c>
      <c r="B1123" t="s">
        <v>47</v>
      </c>
      <c r="C1123" s="4">
        <v>0.1</v>
      </c>
      <c r="D1123" s="8">
        <v>1.89</v>
      </c>
      <c r="E1123" s="4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 s="5">
        <v>0.83</v>
      </c>
      <c r="O1123" t="s">
        <v>33</v>
      </c>
      <c r="P1123" t="s">
        <v>136</v>
      </c>
      <c r="Q1123" t="s">
        <v>362</v>
      </c>
      <c r="R1123" t="s">
        <v>1841</v>
      </c>
      <c r="S1123" s="7">
        <v>33403</v>
      </c>
      <c r="T1123" s="3">
        <v>42142</v>
      </c>
      <c r="U1123" s="3">
        <v>42144</v>
      </c>
      <c r="V1123" s="4">
        <v>-40.432000000000002</v>
      </c>
      <c r="W1123">
        <v>20</v>
      </c>
      <c r="X1123">
        <v>36.72</v>
      </c>
      <c r="Y1123" s="7">
        <v>87117</v>
      </c>
    </row>
    <row r="1124" spans="1:25" ht="12.75" customHeight="1">
      <c r="A1124">
        <v>19733</v>
      </c>
      <c r="B1124" t="s">
        <v>37</v>
      </c>
      <c r="C1124" s="4">
        <v>0</v>
      </c>
      <c r="D1124" s="8">
        <v>73.98</v>
      </c>
      <c r="E1124" s="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 s="5">
        <v>0.65</v>
      </c>
      <c r="O1124" t="s">
        <v>33</v>
      </c>
      <c r="P1124" t="s">
        <v>34</v>
      </c>
      <c r="Q1124" t="s">
        <v>82</v>
      </c>
      <c r="R1124" t="s">
        <v>1901</v>
      </c>
      <c r="S1124" s="7">
        <v>59715</v>
      </c>
      <c r="T1124" s="3">
        <v>42075</v>
      </c>
      <c r="U1124" s="3">
        <v>42077</v>
      </c>
      <c r="V1124" s="4">
        <v>-88.61</v>
      </c>
      <c r="W1124">
        <v>4</v>
      </c>
      <c r="X1124">
        <v>305.70999999999998</v>
      </c>
      <c r="Y1124" s="7">
        <v>89333</v>
      </c>
    </row>
    <row r="1125" spans="1:25" ht="12.75" customHeight="1">
      <c r="A1125">
        <v>22018</v>
      </c>
      <c r="B1125" t="s">
        <v>25</v>
      </c>
      <c r="C1125" s="4">
        <v>0.06</v>
      </c>
      <c r="D1125" s="8">
        <v>40.99</v>
      </c>
      <c r="E1125" s="4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 s="5">
        <v>0.36</v>
      </c>
      <c r="O1125" t="s">
        <v>33</v>
      </c>
      <c r="P1125" t="s">
        <v>53</v>
      </c>
      <c r="Q1125" t="s">
        <v>71</v>
      </c>
      <c r="R1125" t="s">
        <v>1961</v>
      </c>
      <c r="S1125" s="7">
        <v>10550</v>
      </c>
      <c r="T1125" s="3">
        <v>42115</v>
      </c>
      <c r="U1125" s="3">
        <v>42115</v>
      </c>
      <c r="V1125" s="4">
        <v>109.16</v>
      </c>
      <c r="W1125">
        <v>7</v>
      </c>
      <c r="X1125">
        <v>277.12</v>
      </c>
      <c r="Y1125" s="7">
        <v>89334</v>
      </c>
    </row>
    <row r="1126" spans="1:25" ht="12.75" customHeight="1">
      <c r="A1126">
        <v>24731</v>
      </c>
      <c r="B1126" t="s">
        <v>106</v>
      </c>
      <c r="C1126" s="4">
        <v>0.09</v>
      </c>
      <c r="D1126" s="8">
        <v>20.99</v>
      </c>
      <c r="E1126" s="4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 s="5">
        <v>0.81</v>
      </c>
      <c r="O1126" t="s">
        <v>33</v>
      </c>
      <c r="P1126" t="s">
        <v>136</v>
      </c>
      <c r="Q1126" t="s">
        <v>958</v>
      </c>
      <c r="R1126" t="s">
        <v>1963</v>
      </c>
      <c r="S1126" s="7">
        <v>72756</v>
      </c>
      <c r="T1126" s="3">
        <v>42179</v>
      </c>
      <c r="U1126" s="3">
        <v>42186</v>
      </c>
      <c r="V1126" s="4">
        <v>-136.12200000000001</v>
      </c>
      <c r="W1126">
        <v>6</v>
      </c>
      <c r="X1126">
        <v>100.11</v>
      </c>
      <c r="Y1126" s="7">
        <v>88692</v>
      </c>
    </row>
    <row r="1127" spans="1:25" ht="12.75" customHeight="1">
      <c r="A1127">
        <v>22970</v>
      </c>
      <c r="B1127" t="s">
        <v>47</v>
      </c>
      <c r="C1127" s="4">
        <v>0.04</v>
      </c>
      <c r="D1127" s="8">
        <v>4.28</v>
      </c>
      <c r="E1127" s="4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 s="5">
        <v>0.4</v>
      </c>
      <c r="O1127" t="s">
        <v>33</v>
      </c>
      <c r="P1127" t="s">
        <v>61</v>
      </c>
      <c r="Q1127" t="s">
        <v>183</v>
      </c>
      <c r="R1127" t="s">
        <v>1966</v>
      </c>
      <c r="S1127" s="7">
        <v>67901</v>
      </c>
      <c r="T1127" s="3">
        <v>42167</v>
      </c>
      <c r="U1127" s="3">
        <v>42169</v>
      </c>
      <c r="V1127" s="4">
        <v>-27.375</v>
      </c>
      <c r="W1127">
        <v>7</v>
      </c>
      <c r="X1127">
        <v>31.54</v>
      </c>
      <c r="Y1127" s="7">
        <v>88219</v>
      </c>
    </row>
    <row r="1128" spans="1:25" ht="12.75" customHeight="1">
      <c r="A1128">
        <v>22971</v>
      </c>
      <c r="B1128" t="s">
        <v>47</v>
      </c>
      <c r="C1128" s="4">
        <v>0.06</v>
      </c>
      <c r="D1128" s="8">
        <v>376.13</v>
      </c>
      <c r="E1128" s="4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 s="5">
        <v>0.74</v>
      </c>
      <c r="O1128" t="s">
        <v>33</v>
      </c>
      <c r="P1128" t="s">
        <v>61</v>
      </c>
      <c r="Q1128" t="s">
        <v>183</v>
      </c>
      <c r="R1128" t="s">
        <v>1966</v>
      </c>
      <c r="S1128" s="7">
        <v>67901</v>
      </c>
      <c r="T1128" s="3">
        <v>42167</v>
      </c>
      <c r="U1128" s="3">
        <v>42169</v>
      </c>
      <c r="V1128" s="4">
        <v>-435.75749999999999</v>
      </c>
      <c r="W1128">
        <v>13</v>
      </c>
      <c r="X1128">
        <v>4634.6899999999996</v>
      </c>
      <c r="Y1128" s="7">
        <v>88219</v>
      </c>
    </row>
    <row r="1129" spans="1:25" ht="12.75" customHeight="1">
      <c r="A1129">
        <v>22972</v>
      </c>
      <c r="B1129" t="s">
        <v>47</v>
      </c>
      <c r="C1129" s="4">
        <v>0.06</v>
      </c>
      <c r="D1129" s="8">
        <v>424.21</v>
      </c>
      <c r="E1129" s="4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 s="5">
        <v>0.67</v>
      </c>
      <c r="O1129" t="s">
        <v>33</v>
      </c>
      <c r="P1129" t="s">
        <v>61</v>
      </c>
      <c r="Q1129" t="s">
        <v>183</v>
      </c>
      <c r="R1129" t="s">
        <v>1966</v>
      </c>
      <c r="S1129" s="7">
        <v>67901</v>
      </c>
      <c r="T1129" s="3">
        <v>42167</v>
      </c>
      <c r="U1129" s="3">
        <v>42168</v>
      </c>
      <c r="V1129" s="4">
        <v>682.53</v>
      </c>
      <c r="W1129">
        <v>17</v>
      </c>
      <c r="X1129">
        <v>7304.03</v>
      </c>
      <c r="Y1129" s="7">
        <v>88219</v>
      </c>
    </row>
    <row r="1130" spans="1:25" ht="12.75" customHeight="1">
      <c r="A1130">
        <v>22973</v>
      </c>
      <c r="B1130" t="s">
        <v>47</v>
      </c>
      <c r="C1130" s="4">
        <v>0.06</v>
      </c>
      <c r="D1130" s="8">
        <v>195.99</v>
      </c>
      <c r="E1130" s="4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 s="5">
        <v>0.6</v>
      </c>
      <c r="O1130" t="s">
        <v>33</v>
      </c>
      <c r="P1130" t="s">
        <v>61</v>
      </c>
      <c r="Q1130" t="s">
        <v>183</v>
      </c>
      <c r="R1130" t="s">
        <v>1966</v>
      </c>
      <c r="S1130" s="7">
        <v>67901</v>
      </c>
      <c r="T1130" s="3">
        <v>42167</v>
      </c>
      <c r="U1130" s="3">
        <v>42169</v>
      </c>
      <c r="V1130" s="4">
        <v>-277.22200000000004</v>
      </c>
      <c r="W1130">
        <v>4</v>
      </c>
      <c r="X1130">
        <v>632.65</v>
      </c>
      <c r="Y1130" s="7">
        <v>88219</v>
      </c>
    </row>
    <row r="1131" spans="1:25" ht="12.75" customHeight="1">
      <c r="A1131">
        <v>18497</v>
      </c>
      <c r="B1131" t="s">
        <v>25</v>
      </c>
      <c r="C1131" s="4">
        <v>0.03</v>
      </c>
      <c r="D1131" s="8">
        <v>15.28</v>
      </c>
      <c r="E1131" s="4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 s="5">
        <v>0.42</v>
      </c>
      <c r="O1131" t="s">
        <v>33</v>
      </c>
      <c r="P1131" t="s">
        <v>136</v>
      </c>
      <c r="Q1131" t="s">
        <v>137</v>
      </c>
      <c r="R1131" t="s">
        <v>1969</v>
      </c>
      <c r="S1131" s="7">
        <v>22801</v>
      </c>
      <c r="T1131" s="3">
        <v>42176</v>
      </c>
      <c r="U1131" s="3">
        <v>42178</v>
      </c>
      <c r="V1131" s="4">
        <v>-266.68600000000004</v>
      </c>
      <c r="W1131">
        <v>19</v>
      </c>
      <c r="X1131">
        <v>290.98</v>
      </c>
      <c r="Y1131" s="7">
        <v>88220</v>
      </c>
    </row>
    <row r="1132" spans="1:25" ht="12.75" customHeight="1">
      <c r="A1132">
        <v>18498</v>
      </c>
      <c r="B1132" t="s">
        <v>25</v>
      </c>
      <c r="C1132" s="4">
        <v>0.09</v>
      </c>
      <c r="D1132" s="8">
        <v>1.76</v>
      </c>
      <c r="E1132" s="4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 s="5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 s="7">
        <v>22801</v>
      </c>
      <c r="T1132" s="3">
        <v>42176</v>
      </c>
      <c r="U1132" s="3">
        <v>42179</v>
      </c>
      <c r="V1132" s="4">
        <v>-12.277999999999999</v>
      </c>
      <c r="W1132">
        <v>13</v>
      </c>
      <c r="X1132">
        <v>21.77</v>
      </c>
      <c r="Y1132" s="7">
        <v>88220</v>
      </c>
    </row>
    <row r="1133" spans="1:25" ht="12.75" customHeight="1">
      <c r="A1133">
        <v>18251</v>
      </c>
      <c r="B1133" t="s">
        <v>37</v>
      </c>
      <c r="C1133" s="4">
        <v>7.0000000000000007E-2</v>
      </c>
      <c r="D1133" s="8">
        <v>31.78</v>
      </c>
      <c r="E1133" s="4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 s="5">
        <v>0.42</v>
      </c>
      <c r="O1133" t="s">
        <v>33</v>
      </c>
      <c r="P1133" t="s">
        <v>34</v>
      </c>
      <c r="Q1133" t="s">
        <v>366</v>
      </c>
      <c r="R1133" t="s">
        <v>1972</v>
      </c>
      <c r="S1133" s="7">
        <v>87105</v>
      </c>
      <c r="T1133" s="3">
        <v>42054</v>
      </c>
      <c r="U1133" s="3">
        <v>42056</v>
      </c>
      <c r="V1133" s="4">
        <v>265.11180000000002</v>
      </c>
      <c r="W1133">
        <v>13</v>
      </c>
      <c r="X1133">
        <v>384.22</v>
      </c>
      <c r="Y1133" s="7">
        <v>87234</v>
      </c>
    </row>
    <row r="1134" spans="1:25" ht="12.75" customHeight="1">
      <c r="A1134">
        <v>18252</v>
      </c>
      <c r="B1134" t="s">
        <v>37</v>
      </c>
      <c r="C1134" s="4">
        <v>0</v>
      </c>
      <c r="D1134" s="8">
        <v>5.98</v>
      </c>
      <c r="E1134" s="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 s="5">
        <v>0.36</v>
      </c>
      <c r="O1134" t="s">
        <v>33</v>
      </c>
      <c r="P1134" t="s">
        <v>34</v>
      </c>
      <c r="Q1134" t="s">
        <v>366</v>
      </c>
      <c r="R1134" t="s">
        <v>1972</v>
      </c>
      <c r="S1134" s="7">
        <v>87105</v>
      </c>
      <c r="T1134" s="3">
        <v>42054</v>
      </c>
      <c r="U1134" s="3">
        <v>42055</v>
      </c>
      <c r="V1134" s="4">
        <v>9.5608000000000004</v>
      </c>
      <c r="W1134">
        <v>5</v>
      </c>
      <c r="X1134">
        <v>31.64</v>
      </c>
      <c r="Y1134" s="7">
        <v>87234</v>
      </c>
    </row>
    <row r="1135" spans="1:25" ht="12.75" customHeight="1">
      <c r="A1135">
        <v>18253</v>
      </c>
      <c r="B1135" t="s">
        <v>37</v>
      </c>
      <c r="C1135" s="4">
        <v>0.1</v>
      </c>
      <c r="D1135" s="8">
        <v>35.99</v>
      </c>
      <c r="E1135" s="4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 s="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 s="7">
        <v>87105</v>
      </c>
      <c r="T1135" s="3">
        <v>42054</v>
      </c>
      <c r="U1135" s="3">
        <v>42055</v>
      </c>
      <c r="V1135" s="4">
        <v>390.09839999999997</v>
      </c>
      <c r="W1135">
        <v>19</v>
      </c>
      <c r="X1135">
        <v>565.36</v>
      </c>
      <c r="Y1135" s="7">
        <v>87234</v>
      </c>
    </row>
    <row r="1136" spans="1:25" ht="12.75" customHeight="1">
      <c r="A1136">
        <v>20481</v>
      </c>
      <c r="B1136" t="s">
        <v>56</v>
      </c>
      <c r="C1136" s="4">
        <v>7.0000000000000007E-2</v>
      </c>
      <c r="D1136" s="8">
        <v>5.98</v>
      </c>
      <c r="E1136" s="4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 s="5">
        <v>0.36</v>
      </c>
      <c r="O1136" t="s">
        <v>33</v>
      </c>
      <c r="P1136" t="s">
        <v>136</v>
      </c>
      <c r="Q1136" t="s">
        <v>322</v>
      </c>
      <c r="R1136" t="s">
        <v>1974</v>
      </c>
      <c r="S1136" s="7">
        <v>28601</v>
      </c>
      <c r="T1136" s="3">
        <v>42048</v>
      </c>
      <c r="U1136" s="3">
        <v>42050</v>
      </c>
      <c r="V1136" s="4">
        <v>46.65</v>
      </c>
      <c r="W1136">
        <v>5</v>
      </c>
      <c r="X1136">
        <v>32.76</v>
      </c>
      <c r="Y1136" s="7">
        <v>88040</v>
      </c>
    </row>
    <row r="1137" spans="1:25" ht="12.75" customHeight="1">
      <c r="A1137">
        <v>23499</v>
      </c>
      <c r="B1137" t="s">
        <v>37</v>
      </c>
      <c r="C1137" s="4">
        <v>0.09</v>
      </c>
      <c r="D1137" s="8">
        <v>28.48</v>
      </c>
      <c r="E1137" s="4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 s="5">
        <v>0.4</v>
      </c>
      <c r="O1137" t="s">
        <v>33</v>
      </c>
      <c r="P1137" t="s">
        <v>136</v>
      </c>
      <c r="Q1137" t="s">
        <v>322</v>
      </c>
      <c r="R1137" t="s">
        <v>1976</v>
      </c>
      <c r="S1137" s="7">
        <v>27260</v>
      </c>
      <c r="T1137" s="3">
        <v>42021</v>
      </c>
      <c r="U1137" s="3">
        <v>42022</v>
      </c>
      <c r="V1137" s="4">
        <v>-1250.7460000000001</v>
      </c>
      <c r="W1137">
        <v>13</v>
      </c>
      <c r="X1137">
        <v>336.92</v>
      </c>
      <c r="Y1137" s="7">
        <v>88039</v>
      </c>
    </row>
    <row r="1138" spans="1:25" ht="12.75" customHeight="1">
      <c r="A1138">
        <v>21632</v>
      </c>
      <c r="B1138" t="s">
        <v>47</v>
      </c>
      <c r="C1138" s="4">
        <v>0.1</v>
      </c>
      <c r="D1138" s="8">
        <v>9.85</v>
      </c>
      <c r="E1138" s="4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 s="5">
        <v>0.47</v>
      </c>
      <c r="O1138" t="s">
        <v>33</v>
      </c>
      <c r="P1138" t="s">
        <v>136</v>
      </c>
      <c r="Q1138" t="s">
        <v>322</v>
      </c>
      <c r="R1138" t="s">
        <v>1976</v>
      </c>
      <c r="S1138" s="7">
        <v>27260</v>
      </c>
      <c r="T1138" s="3">
        <v>42090</v>
      </c>
      <c r="U1138" s="3">
        <v>42091</v>
      </c>
      <c r="V1138" s="4">
        <v>374.904</v>
      </c>
      <c r="W1138">
        <v>12</v>
      </c>
      <c r="X1138">
        <v>114.91</v>
      </c>
      <c r="Y1138" s="7">
        <v>88041</v>
      </c>
    </row>
    <row r="1139" spans="1:25" ht="12.75" customHeight="1">
      <c r="A1139">
        <v>21633</v>
      </c>
      <c r="B1139" t="s">
        <v>47</v>
      </c>
      <c r="C1139" s="4">
        <v>0.04</v>
      </c>
      <c r="D1139" s="8">
        <v>125.99</v>
      </c>
      <c r="E1139" s="4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 s="5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 s="7">
        <v>27260</v>
      </c>
      <c r="T1139" s="3">
        <v>42090</v>
      </c>
      <c r="U1139" s="3">
        <v>42091</v>
      </c>
      <c r="V1139" s="4">
        <v>-528.83600000000001</v>
      </c>
      <c r="W1139">
        <v>9</v>
      </c>
      <c r="X1139">
        <v>934.52</v>
      </c>
      <c r="Y1139" s="7">
        <v>88041</v>
      </c>
    </row>
    <row r="1140" spans="1:25" ht="12.75" customHeight="1">
      <c r="A1140">
        <v>20841</v>
      </c>
      <c r="B1140" t="s">
        <v>56</v>
      </c>
      <c r="C1140" s="4">
        <v>0.02</v>
      </c>
      <c r="D1140" s="8">
        <v>240.98</v>
      </c>
      <c r="E1140" s="4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 s="5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 s="7">
        <v>69101</v>
      </c>
      <c r="T1140" s="3">
        <v>42033</v>
      </c>
      <c r="U1140" s="3">
        <v>42035</v>
      </c>
      <c r="V1140" s="4">
        <v>-272.71320000000003</v>
      </c>
      <c r="W1140">
        <v>1</v>
      </c>
      <c r="X1140">
        <v>260.66000000000003</v>
      </c>
      <c r="Y1140" s="7">
        <v>87146</v>
      </c>
    </row>
    <row r="1141" spans="1:25" ht="12.75" customHeight="1">
      <c r="A1141">
        <v>20840</v>
      </c>
      <c r="B1141" t="s">
        <v>56</v>
      </c>
      <c r="C1141" s="4">
        <v>0.02</v>
      </c>
      <c r="D1141" s="8">
        <v>420.98</v>
      </c>
      <c r="E1141" s="4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 s="5">
        <v>0.35</v>
      </c>
      <c r="O1141" t="s">
        <v>33</v>
      </c>
      <c r="P1141" t="s">
        <v>136</v>
      </c>
      <c r="Q1141" t="s">
        <v>137</v>
      </c>
      <c r="R1141" t="s">
        <v>1982</v>
      </c>
      <c r="S1141" s="7">
        <v>23111</v>
      </c>
      <c r="T1141" s="3">
        <v>42033</v>
      </c>
      <c r="U1141" s="3">
        <v>42036</v>
      </c>
      <c r="V1141" s="4">
        <v>-162.69399999999999</v>
      </c>
      <c r="W1141">
        <v>10</v>
      </c>
      <c r="X1141">
        <v>4249.37</v>
      </c>
      <c r="Y1141" s="7">
        <v>87146</v>
      </c>
    </row>
    <row r="1142" spans="1:25" ht="12.75" customHeight="1">
      <c r="A1142">
        <v>22511</v>
      </c>
      <c r="B1142" t="s">
        <v>106</v>
      </c>
      <c r="C1142" s="4">
        <v>0.04</v>
      </c>
      <c r="D1142" s="8">
        <v>291.73</v>
      </c>
      <c r="E1142" s="4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 s="5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 s="7">
        <v>23111</v>
      </c>
      <c r="T1142" s="3">
        <v>42181</v>
      </c>
      <c r="U1142" s="3">
        <v>42185</v>
      </c>
      <c r="V1142" s="4">
        <v>-115.90389999999999</v>
      </c>
      <c r="W1142">
        <v>22</v>
      </c>
      <c r="X1142">
        <v>6676.61</v>
      </c>
      <c r="Y1142" s="7">
        <v>87148</v>
      </c>
    </row>
    <row r="1143" spans="1:25" ht="12.75" customHeight="1">
      <c r="A1143">
        <v>25759</v>
      </c>
      <c r="B1143" t="s">
        <v>106</v>
      </c>
      <c r="C1143" s="4">
        <v>0.06</v>
      </c>
      <c r="D1143" s="8">
        <v>300.97000000000003</v>
      </c>
      <c r="E1143" s="4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 s="5">
        <v>0.48</v>
      </c>
      <c r="O1143" t="s">
        <v>33</v>
      </c>
      <c r="P1143" t="s">
        <v>136</v>
      </c>
      <c r="Q1143" t="s">
        <v>137</v>
      </c>
      <c r="R1143" t="s">
        <v>1984</v>
      </c>
      <c r="S1143" s="7">
        <v>23602</v>
      </c>
      <c r="T1143" s="3">
        <v>42132</v>
      </c>
      <c r="U1143" s="3">
        <v>42132</v>
      </c>
      <c r="V1143" s="4">
        <v>-729.98799999999994</v>
      </c>
      <c r="W1143">
        <v>1</v>
      </c>
      <c r="X1143">
        <v>291.39999999999998</v>
      </c>
      <c r="Y1143" s="7">
        <v>87147</v>
      </c>
    </row>
    <row r="1144" spans="1:25" ht="12.75" customHeight="1">
      <c r="A1144">
        <v>25228</v>
      </c>
      <c r="B1144" t="s">
        <v>56</v>
      </c>
      <c r="C1144" s="4">
        <v>0.09</v>
      </c>
      <c r="D1144" s="8">
        <v>20.89</v>
      </c>
      <c r="E1144" s="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 s="5">
        <v>0.83</v>
      </c>
      <c r="O1144" t="s">
        <v>33</v>
      </c>
      <c r="P1144" t="s">
        <v>136</v>
      </c>
      <c r="Q1144" t="s">
        <v>322</v>
      </c>
      <c r="R1144" t="s">
        <v>1986</v>
      </c>
      <c r="S1144" s="7">
        <v>28079</v>
      </c>
      <c r="T1144" s="3">
        <v>42089</v>
      </c>
      <c r="U1144" s="3">
        <v>42090</v>
      </c>
      <c r="V1144" s="4">
        <v>-133.54599999999999</v>
      </c>
      <c r="W1144">
        <v>7</v>
      </c>
      <c r="X1144">
        <v>146.5</v>
      </c>
      <c r="Y1144" s="7">
        <v>85833</v>
      </c>
    </row>
    <row r="1145" spans="1:25" ht="12.75" customHeight="1">
      <c r="A1145">
        <v>24748</v>
      </c>
      <c r="B1145" t="s">
        <v>47</v>
      </c>
      <c r="C1145" s="4">
        <v>0.09</v>
      </c>
      <c r="D1145" s="8">
        <v>20.99</v>
      </c>
      <c r="E1145" s="4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 s="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 s="7">
        <v>28079</v>
      </c>
      <c r="T1145" s="3">
        <v>42094</v>
      </c>
      <c r="U1145" s="3">
        <v>42095</v>
      </c>
      <c r="V1145" s="4">
        <v>272.69399999999996</v>
      </c>
      <c r="W1145">
        <v>2</v>
      </c>
      <c r="X1145">
        <v>38.979999999999997</v>
      </c>
      <c r="Y1145" s="7">
        <v>85834</v>
      </c>
    </row>
    <row r="1146" spans="1:25" ht="12.75" customHeight="1">
      <c r="A1146">
        <v>25381</v>
      </c>
      <c r="B1146" t="s">
        <v>106</v>
      </c>
      <c r="C1146" s="4">
        <v>0.1</v>
      </c>
      <c r="D1146" s="8">
        <v>4.24</v>
      </c>
      <c r="E1146" s="4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 s="5">
        <v>0.35</v>
      </c>
      <c r="O1146" t="s">
        <v>33</v>
      </c>
      <c r="P1146" t="s">
        <v>136</v>
      </c>
      <c r="Q1146" t="s">
        <v>322</v>
      </c>
      <c r="R1146" t="s">
        <v>1986</v>
      </c>
      <c r="S1146" s="7">
        <v>28079</v>
      </c>
      <c r="T1146" s="3">
        <v>42113</v>
      </c>
      <c r="U1146" s="3">
        <v>42117</v>
      </c>
      <c r="V1146" s="4">
        <v>-61.6</v>
      </c>
      <c r="W1146">
        <v>8</v>
      </c>
      <c r="X1146">
        <v>34.159999999999997</v>
      </c>
      <c r="Y1146" s="7">
        <v>85835</v>
      </c>
    </row>
    <row r="1147" spans="1:25" ht="12.75" customHeight="1">
      <c r="A1147">
        <v>21901</v>
      </c>
      <c r="B1147" t="s">
        <v>56</v>
      </c>
      <c r="C1147" s="4">
        <v>0.1</v>
      </c>
      <c r="D1147" s="8">
        <v>40.98</v>
      </c>
      <c r="E1147" s="4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 s="5">
        <v>0.74</v>
      </c>
      <c r="O1147" t="s">
        <v>33</v>
      </c>
      <c r="P1147" t="s">
        <v>136</v>
      </c>
      <c r="Q1147" t="s">
        <v>613</v>
      </c>
      <c r="R1147" t="s">
        <v>1988</v>
      </c>
      <c r="S1147" s="7">
        <v>41075</v>
      </c>
      <c r="T1147" s="3">
        <v>42016</v>
      </c>
      <c r="U1147" s="3">
        <v>42018</v>
      </c>
      <c r="V1147" s="4">
        <v>66.852000000000004</v>
      </c>
      <c r="W1147">
        <v>3</v>
      </c>
      <c r="X1147">
        <v>120.34</v>
      </c>
      <c r="Y1147" s="7">
        <v>88554</v>
      </c>
    </row>
    <row r="1148" spans="1:25" ht="12.75" customHeight="1">
      <c r="A1148">
        <v>19567</v>
      </c>
      <c r="B1148" t="s">
        <v>106</v>
      </c>
      <c r="C1148" s="4">
        <v>7.0000000000000007E-2</v>
      </c>
      <c r="D1148" s="8">
        <v>35.99</v>
      </c>
      <c r="E1148" s="4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 s="5">
        <v>0.38</v>
      </c>
      <c r="O1148" t="s">
        <v>33</v>
      </c>
      <c r="P1148" t="s">
        <v>61</v>
      </c>
      <c r="Q1148" t="s">
        <v>300</v>
      </c>
      <c r="R1148" t="s">
        <v>1990</v>
      </c>
      <c r="S1148" s="7">
        <v>48021</v>
      </c>
      <c r="T1148" s="3">
        <v>42140</v>
      </c>
      <c r="U1148" s="3">
        <v>42144</v>
      </c>
      <c r="V1148" s="4">
        <v>17.839800000000011</v>
      </c>
      <c r="W1148">
        <v>5</v>
      </c>
      <c r="X1148">
        <v>153.61000000000001</v>
      </c>
      <c r="Y1148" s="7">
        <v>88558</v>
      </c>
    </row>
    <row r="1149" spans="1:25" ht="12.75" customHeight="1">
      <c r="A1149">
        <v>20498</v>
      </c>
      <c r="B1149" t="s">
        <v>37</v>
      </c>
      <c r="C1149" s="4">
        <v>0.03</v>
      </c>
      <c r="D1149" s="8">
        <v>60.98</v>
      </c>
      <c r="E1149" s="4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 s="5">
        <v>0.5</v>
      </c>
      <c r="O1149" t="s">
        <v>33</v>
      </c>
      <c r="P1149" t="s">
        <v>61</v>
      </c>
      <c r="Q1149" t="s">
        <v>300</v>
      </c>
      <c r="R1149" t="s">
        <v>1993</v>
      </c>
      <c r="S1149" s="7">
        <v>48336</v>
      </c>
      <c r="T1149" s="3">
        <v>42036</v>
      </c>
      <c r="U1149" s="3">
        <v>42036</v>
      </c>
      <c r="V1149" s="4">
        <v>976.2672</v>
      </c>
      <c r="W1149">
        <v>23</v>
      </c>
      <c r="X1149">
        <v>1414.88</v>
      </c>
      <c r="Y1149" s="7">
        <v>88555</v>
      </c>
    </row>
    <row r="1150" spans="1:25" ht="12.75" customHeight="1">
      <c r="A1150">
        <v>20499</v>
      </c>
      <c r="B1150" t="s">
        <v>37</v>
      </c>
      <c r="C1150" s="4">
        <v>0.04</v>
      </c>
      <c r="D1150" s="8">
        <v>3.08</v>
      </c>
      <c r="E1150" s="4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 s="5">
        <v>0.37</v>
      </c>
      <c r="O1150" t="s">
        <v>33</v>
      </c>
      <c r="P1150" t="s">
        <v>61</v>
      </c>
      <c r="Q1150" t="s">
        <v>300</v>
      </c>
      <c r="R1150" t="s">
        <v>1993</v>
      </c>
      <c r="S1150" s="7">
        <v>48336</v>
      </c>
      <c r="T1150" s="3">
        <v>42036</v>
      </c>
      <c r="U1150" s="3">
        <v>42037</v>
      </c>
      <c r="V1150" s="4">
        <v>23.204699999999999</v>
      </c>
      <c r="W1150">
        <v>11</v>
      </c>
      <c r="X1150">
        <v>33.630000000000003</v>
      </c>
      <c r="Y1150" s="7">
        <v>88555</v>
      </c>
    </row>
    <row r="1151" spans="1:25" ht="12.75" customHeight="1">
      <c r="A1151">
        <v>19568</v>
      </c>
      <c r="B1151" t="s">
        <v>106</v>
      </c>
      <c r="C1151" s="4">
        <v>0.08</v>
      </c>
      <c r="D1151" s="8">
        <v>65.989999999999995</v>
      </c>
      <c r="E1151" s="4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 s="5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 s="7">
        <v>48336</v>
      </c>
      <c r="T1151" s="3">
        <v>42140</v>
      </c>
      <c r="U1151" s="3">
        <v>42147</v>
      </c>
      <c r="V1151" s="4">
        <v>183.84300000000002</v>
      </c>
      <c r="W1151">
        <v>20</v>
      </c>
      <c r="X1151">
        <v>1063.81</v>
      </c>
      <c r="Y1151" s="7">
        <v>88558</v>
      </c>
    </row>
    <row r="1152" spans="1:25" ht="12.75" customHeight="1">
      <c r="A1152">
        <v>20500</v>
      </c>
      <c r="B1152" t="s">
        <v>37</v>
      </c>
      <c r="C1152" s="4">
        <v>0</v>
      </c>
      <c r="D1152" s="8">
        <v>10.31</v>
      </c>
      <c r="E1152" s="4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 s="5">
        <v>0.38</v>
      </c>
      <c r="O1152" t="s">
        <v>33</v>
      </c>
      <c r="P1152" t="s">
        <v>61</v>
      </c>
      <c r="Q1152" t="s">
        <v>300</v>
      </c>
      <c r="R1152" t="s">
        <v>1997</v>
      </c>
      <c r="S1152" s="7">
        <v>48505</v>
      </c>
      <c r="T1152" s="3">
        <v>42036</v>
      </c>
      <c r="U1152" s="3">
        <v>42038</v>
      </c>
      <c r="V1152" s="4">
        <v>167.46299999999997</v>
      </c>
      <c r="W1152">
        <v>23</v>
      </c>
      <c r="X1152">
        <v>242.7</v>
      </c>
      <c r="Y1152" s="7">
        <v>88555</v>
      </c>
    </row>
    <row r="1153" spans="1:25" ht="12.75" customHeight="1">
      <c r="A1153">
        <v>20824</v>
      </c>
      <c r="B1153" t="s">
        <v>25</v>
      </c>
      <c r="C1153" s="4">
        <v>0.09</v>
      </c>
      <c r="D1153" s="8">
        <v>260.98</v>
      </c>
      <c r="E1153" s="4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 s="5">
        <v>0.59</v>
      </c>
      <c r="O1153" t="s">
        <v>33</v>
      </c>
      <c r="P1153" t="s">
        <v>61</v>
      </c>
      <c r="Q1153" t="s">
        <v>300</v>
      </c>
      <c r="R1153" t="s">
        <v>1997</v>
      </c>
      <c r="S1153" s="7">
        <v>48505</v>
      </c>
      <c r="T1153" s="3">
        <v>42046</v>
      </c>
      <c r="U1153" s="3">
        <v>42048</v>
      </c>
      <c r="V1153" s="4">
        <v>1307.2692</v>
      </c>
      <c r="W1153">
        <v>14</v>
      </c>
      <c r="X1153">
        <v>3377.06</v>
      </c>
      <c r="Y1153" s="7">
        <v>88556</v>
      </c>
    </row>
    <row r="1154" spans="1:25" ht="12.75" customHeight="1">
      <c r="A1154">
        <v>20825</v>
      </c>
      <c r="B1154" t="s">
        <v>25</v>
      </c>
      <c r="C1154" s="4">
        <v>0.01</v>
      </c>
      <c r="D1154" s="8">
        <v>10.52</v>
      </c>
      <c r="E1154" s="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 s="5">
        <v>0.52</v>
      </c>
      <c r="O1154" t="s">
        <v>33</v>
      </c>
      <c r="P1154" t="s">
        <v>61</v>
      </c>
      <c r="Q1154" t="s">
        <v>300</v>
      </c>
      <c r="R1154" t="s">
        <v>1997</v>
      </c>
      <c r="S1154" s="7">
        <v>48505</v>
      </c>
      <c r="T1154" s="3">
        <v>42046</v>
      </c>
      <c r="U1154" s="3">
        <v>42048</v>
      </c>
      <c r="V1154" s="4">
        <v>-15.818400000000002</v>
      </c>
      <c r="W1154">
        <v>11</v>
      </c>
      <c r="X1154">
        <v>123.93</v>
      </c>
      <c r="Y1154" s="7">
        <v>88556</v>
      </c>
    </row>
    <row r="1155" spans="1:25" ht="12.75" customHeight="1">
      <c r="A1155">
        <v>20826</v>
      </c>
      <c r="B1155" t="s">
        <v>25</v>
      </c>
      <c r="C1155" s="4">
        <v>0.02</v>
      </c>
      <c r="D1155" s="8">
        <v>5.98</v>
      </c>
      <c r="E1155" s="4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 s="5">
        <v>0.4</v>
      </c>
      <c r="O1155" t="s">
        <v>33</v>
      </c>
      <c r="P1155" t="s">
        <v>61</v>
      </c>
      <c r="Q1155" t="s">
        <v>300</v>
      </c>
      <c r="R1155" t="s">
        <v>1997</v>
      </c>
      <c r="S1155" s="7">
        <v>48505</v>
      </c>
      <c r="T1155" s="3">
        <v>42046</v>
      </c>
      <c r="U1155" s="3">
        <v>42048</v>
      </c>
      <c r="V1155" s="4">
        <v>-55.832400000000007</v>
      </c>
      <c r="W1155">
        <v>14</v>
      </c>
      <c r="X1155">
        <v>93.96</v>
      </c>
      <c r="Y1155" s="7">
        <v>88556</v>
      </c>
    </row>
    <row r="1156" spans="1:25" ht="12.75" customHeight="1">
      <c r="A1156">
        <v>24677</v>
      </c>
      <c r="B1156" t="s">
        <v>37</v>
      </c>
      <c r="C1156" s="4">
        <v>0.05</v>
      </c>
      <c r="D1156" s="8">
        <v>291.73</v>
      </c>
      <c r="E1156" s="4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 s="5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 s="7">
        <v>48135</v>
      </c>
      <c r="T1156" s="3">
        <v>42101</v>
      </c>
      <c r="U1156" s="3">
        <v>42103</v>
      </c>
      <c r="V1156" s="4">
        <v>550.38080000000002</v>
      </c>
      <c r="W1156">
        <v>6</v>
      </c>
      <c r="X1156">
        <v>1818.41</v>
      </c>
      <c r="Y1156" s="7">
        <v>88557</v>
      </c>
    </row>
    <row r="1157" spans="1:25" ht="12.75" customHeight="1">
      <c r="A1157">
        <v>24094</v>
      </c>
      <c r="B1157" t="s">
        <v>106</v>
      </c>
      <c r="C1157" s="4">
        <v>0.09</v>
      </c>
      <c r="D1157" s="8">
        <v>1.48</v>
      </c>
      <c r="E1157" s="4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 s="5">
        <v>0.37</v>
      </c>
      <c r="O1157" t="s">
        <v>33</v>
      </c>
      <c r="P1157" t="s">
        <v>53</v>
      </c>
      <c r="Q1157" t="s">
        <v>71</v>
      </c>
      <c r="R1157" t="s">
        <v>2004</v>
      </c>
      <c r="S1157" s="7">
        <v>14853</v>
      </c>
      <c r="T1157" s="3">
        <v>42007</v>
      </c>
      <c r="U1157" s="3">
        <v>42009</v>
      </c>
      <c r="V1157" s="4">
        <v>1.68</v>
      </c>
      <c r="W1157">
        <v>6</v>
      </c>
      <c r="X1157">
        <v>8.9499999999999993</v>
      </c>
      <c r="Y1157" s="7">
        <v>86092</v>
      </c>
    </row>
    <row r="1158" spans="1:25" ht="12.75" customHeight="1">
      <c r="A1158">
        <v>21697</v>
      </c>
      <c r="B1158" t="s">
        <v>106</v>
      </c>
      <c r="C1158" s="4">
        <v>0.06</v>
      </c>
      <c r="D1158" s="8">
        <v>38.06</v>
      </c>
      <c r="E1158" s="4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 s="5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 s="7">
        <v>10956</v>
      </c>
      <c r="T1158" s="3">
        <v>42185</v>
      </c>
      <c r="U1158" s="3">
        <v>42191</v>
      </c>
      <c r="V1158" s="4">
        <v>450.45959999999997</v>
      </c>
      <c r="W1158">
        <v>17</v>
      </c>
      <c r="X1158">
        <v>652.84</v>
      </c>
      <c r="Y1158" s="7">
        <v>88348</v>
      </c>
    </row>
    <row r="1159" spans="1:25" ht="12.75" customHeight="1">
      <c r="A1159">
        <v>21698</v>
      </c>
      <c r="B1159" t="s">
        <v>106</v>
      </c>
      <c r="C1159" s="4">
        <v>0.08</v>
      </c>
      <c r="D1159" s="8">
        <v>599.99</v>
      </c>
      <c r="E1159" s="4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 s="5">
        <v>0.37</v>
      </c>
      <c r="O1159" t="s">
        <v>33</v>
      </c>
      <c r="P1159" t="s">
        <v>53</v>
      </c>
      <c r="Q1159" t="s">
        <v>71</v>
      </c>
      <c r="R1159" t="s">
        <v>2007</v>
      </c>
      <c r="S1159" s="7">
        <v>10956</v>
      </c>
      <c r="T1159" s="3">
        <v>42185</v>
      </c>
      <c r="U1159" s="3">
        <v>42193</v>
      </c>
      <c r="V1159" s="4">
        <v>8798.1830999999984</v>
      </c>
      <c r="W1159">
        <v>22</v>
      </c>
      <c r="X1159">
        <v>12750.99</v>
      </c>
      <c r="Y1159" s="7">
        <v>88348</v>
      </c>
    </row>
    <row r="1160" spans="1:25" ht="12.75" customHeight="1">
      <c r="A1160">
        <v>21699</v>
      </c>
      <c r="B1160" t="s">
        <v>106</v>
      </c>
      <c r="C1160" s="4">
        <v>0.1</v>
      </c>
      <c r="D1160" s="8">
        <v>3.98</v>
      </c>
      <c r="E1160" s="4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 s="5">
        <v>0.35</v>
      </c>
      <c r="O1160" t="s">
        <v>33</v>
      </c>
      <c r="P1160" t="s">
        <v>53</v>
      </c>
      <c r="Q1160" t="s">
        <v>71</v>
      </c>
      <c r="R1160" t="s">
        <v>2007</v>
      </c>
      <c r="S1160" s="7">
        <v>10956</v>
      </c>
      <c r="T1160" s="3">
        <v>42185</v>
      </c>
      <c r="U1160" s="3">
        <v>42189</v>
      </c>
      <c r="V1160" s="4">
        <v>-5.3849999999999998</v>
      </c>
      <c r="W1160">
        <v>5</v>
      </c>
      <c r="X1160">
        <v>20.54</v>
      </c>
      <c r="Y1160" s="7">
        <v>88348</v>
      </c>
    </row>
    <row r="1161" spans="1:25" ht="12.75" customHeight="1">
      <c r="A1161">
        <v>18696</v>
      </c>
      <c r="B1161" t="s">
        <v>56</v>
      </c>
      <c r="C1161" s="4">
        <v>0.08</v>
      </c>
      <c r="D1161" s="8">
        <v>400.98</v>
      </c>
      <c r="E1161" s="4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 s="5">
        <v>0.71</v>
      </c>
      <c r="O1161" t="s">
        <v>33</v>
      </c>
      <c r="P1161" t="s">
        <v>34</v>
      </c>
      <c r="Q1161" t="s">
        <v>45</v>
      </c>
      <c r="R1161" t="s">
        <v>2011</v>
      </c>
      <c r="S1161" s="7">
        <v>95928</v>
      </c>
      <c r="T1161" s="3">
        <v>42040</v>
      </c>
      <c r="U1161" s="3">
        <v>42041</v>
      </c>
      <c r="V1161" s="4">
        <v>3031.9724000000001</v>
      </c>
      <c r="W1161">
        <v>20</v>
      </c>
      <c r="X1161">
        <v>7840.04</v>
      </c>
      <c r="Y1161" s="7">
        <v>86629</v>
      </c>
    </row>
    <row r="1162" spans="1:25" ht="12.75" customHeight="1">
      <c r="A1162">
        <v>18417</v>
      </c>
      <c r="B1162" t="s">
        <v>56</v>
      </c>
      <c r="C1162" s="4">
        <v>0.1</v>
      </c>
      <c r="D1162" s="8">
        <v>300.97000000000003</v>
      </c>
      <c r="E1162" s="4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 s="5">
        <v>0.48</v>
      </c>
      <c r="O1162" t="s">
        <v>33</v>
      </c>
      <c r="P1162" t="s">
        <v>136</v>
      </c>
      <c r="Q1162" t="s">
        <v>932</v>
      </c>
      <c r="R1162" t="s">
        <v>933</v>
      </c>
      <c r="S1162" s="7">
        <v>29915</v>
      </c>
      <c r="T1162" s="3">
        <v>42112</v>
      </c>
      <c r="U1162" s="3">
        <v>42113</v>
      </c>
      <c r="V1162" s="4">
        <v>138.018</v>
      </c>
      <c r="W1162">
        <v>4</v>
      </c>
      <c r="X1162">
        <v>1094.33</v>
      </c>
      <c r="Y1162" s="7">
        <v>87889</v>
      </c>
    </row>
    <row r="1163" spans="1:25" ht="12.75" customHeight="1">
      <c r="A1163">
        <v>18418</v>
      </c>
      <c r="B1163" t="s">
        <v>56</v>
      </c>
      <c r="C1163" s="4">
        <v>0.06</v>
      </c>
      <c r="D1163" s="8">
        <v>39.89</v>
      </c>
      <c r="E1163" s="4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 s="5">
        <v>0.53</v>
      </c>
      <c r="O1163" t="s">
        <v>33</v>
      </c>
      <c r="P1163" t="s">
        <v>136</v>
      </c>
      <c r="Q1163" t="s">
        <v>932</v>
      </c>
      <c r="R1163" t="s">
        <v>2015</v>
      </c>
      <c r="S1163" s="7">
        <v>29464</v>
      </c>
      <c r="T1163" s="3">
        <v>42112</v>
      </c>
      <c r="U1163" s="3">
        <v>42114</v>
      </c>
      <c r="V1163" s="4">
        <v>38.874000000000002</v>
      </c>
      <c r="W1163">
        <v>10</v>
      </c>
      <c r="X1163">
        <v>389.97</v>
      </c>
      <c r="Y1163" s="7">
        <v>87889</v>
      </c>
    </row>
    <row r="1164" spans="1:25" ht="12.75" customHeight="1">
      <c r="A1164">
        <v>22234</v>
      </c>
      <c r="B1164" t="s">
        <v>37</v>
      </c>
      <c r="C1164" s="4">
        <v>7.0000000000000007E-2</v>
      </c>
      <c r="D1164" s="8">
        <v>14.56</v>
      </c>
      <c r="E1164" s="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 s="5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 s="7">
        <v>29577</v>
      </c>
      <c r="T1164" s="3">
        <v>42012</v>
      </c>
      <c r="U1164" s="3">
        <v>42013</v>
      </c>
      <c r="V1164" s="4">
        <v>-45.528000000000006</v>
      </c>
      <c r="W1164">
        <v>6</v>
      </c>
      <c r="X1164">
        <v>84.59</v>
      </c>
      <c r="Y1164" s="7">
        <v>87888</v>
      </c>
    </row>
    <row r="1165" spans="1:25" ht="12.75" customHeight="1">
      <c r="A1165">
        <v>5501</v>
      </c>
      <c r="B1165" t="s">
        <v>56</v>
      </c>
      <c r="C1165" s="4">
        <v>0.05</v>
      </c>
      <c r="D1165" s="8">
        <v>399.98</v>
      </c>
      <c r="E1165" s="4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 s="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 s="7">
        <v>60601</v>
      </c>
      <c r="T1165" s="3">
        <v>42161</v>
      </c>
      <c r="U1165" s="3">
        <v>42161</v>
      </c>
      <c r="V1165" s="4">
        <v>567.59</v>
      </c>
      <c r="W1165">
        <v>24</v>
      </c>
      <c r="X1165">
        <v>9666.7199999999993</v>
      </c>
      <c r="Y1165" s="7">
        <v>39015</v>
      </c>
    </row>
    <row r="1166" spans="1:25" ht="12.75" customHeight="1">
      <c r="A1166">
        <v>5502</v>
      </c>
      <c r="B1166" t="s">
        <v>56</v>
      </c>
      <c r="C1166" s="4">
        <v>7.0000000000000007E-2</v>
      </c>
      <c r="D1166" s="8">
        <v>6.48</v>
      </c>
      <c r="E1166" s="4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 s="5">
        <v>0.37</v>
      </c>
      <c r="O1166" t="s">
        <v>33</v>
      </c>
      <c r="P1166" t="s">
        <v>61</v>
      </c>
      <c r="Q1166" t="s">
        <v>178</v>
      </c>
      <c r="R1166" t="s">
        <v>179</v>
      </c>
      <c r="S1166" s="7">
        <v>60601</v>
      </c>
      <c r="T1166" s="3">
        <v>42161</v>
      </c>
      <c r="U1166" s="3">
        <v>42161</v>
      </c>
      <c r="V1166" s="4">
        <v>-28.45</v>
      </c>
      <c r="W1166">
        <v>20</v>
      </c>
      <c r="X1166">
        <v>134.58000000000001</v>
      </c>
      <c r="Y1166" s="7">
        <v>39015</v>
      </c>
    </row>
    <row r="1167" spans="1:25" ht="12.75" customHeight="1">
      <c r="A1167">
        <v>23502</v>
      </c>
      <c r="B1167" t="s">
        <v>56</v>
      </c>
      <c r="C1167" s="4">
        <v>7.0000000000000007E-2</v>
      </c>
      <c r="D1167" s="8">
        <v>6.48</v>
      </c>
      <c r="E1167" s="4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 s="5">
        <v>0.37</v>
      </c>
      <c r="O1167" t="s">
        <v>33</v>
      </c>
      <c r="P1167" t="s">
        <v>61</v>
      </c>
      <c r="Q1167" t="s">
        <v>506</v>
      </c>
      <c r="R1167" t="s">
        <v>2021</v>
      </c>
      <c r="S1167" s="7">
        <v>63129</v>
      </c>
      <c r="T1167" s="3">
        <v>42161</v>
      </c>
      <c r="U1167" s="3">
        <v>42161</v>
      </c>
      <c r="V1167" s="4">
        <v>-14.225</v>
      </c>
      <c r="W1167">
        <v>5</v>
      </c>
      <c r="X1167">
        <v>33.65</v>
      </c>
      <c r="Y1167" s="7">
        <v>87862</v>
      </c>
    </row>
    <row r="1168" spans="1:25" ht="12.75" customHeight="1">
      <c r="A1168">
        <v>18540</v>
      </c>
      <c r="B1168" t="s">
        <v>47</v>
      </c>
      <c r="C1168" s="4">
        <v>0.08</v>
      </c>
      <c r="D1168" s="8">
        <v>6.68</v>
      </c>
      <c r="E1168" s="4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 s="5">
        <v>0.48</v>
      </c>
      <c r="O1168" t="s">
        <v>33</v>
      </c>
      <c r="P1168" t="s">
        <v>136</v>
      </c>
      <c r="Q1168" t="s">
        <v>137</v>
      </c>
      <c r="R1168" t="s">
        <v>543</v>
      </c>
      <c r="S1168" s="7">
        <v>23518</v>
      </c>
      <c r="T1168" s="3">
        <v>42089</v>
      </c>
      <c r="U1168" s="3">
        <v>42091</v>
      </c>
      <c r="V1168" s="4">
        <v>-601.80400000000009</v>
      </c>
      <c r="W1168">
        <v>10</v>
      </c>
      <c r="X1168">
        <v>66.12</v>
      </c>
      <c r="Y1168" s="7">
        <v>88403</v>
      </c>
    </row>
    <row r="1169" spans="1:25" ht="12.75" customHeight="1">
      <c r="A1169">
        <v>18562</v>
      </c>
      <c r="B1169" t="s">
        <v>47</v>
      </c>
      <c r="C1169" s="4">
        <v>0.08</v>
      </c>
      <c r="D1169" s="8">
        <v>2.89</v>
      </c>
      <c r="E1169" s="4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 s="5">
        <v>0.38</v>
      </c>
      <c r="O1169" t="s">
        <v>33</v>
      </c>
      <c r="P1169" t="s">
        <v>136</v>
      </c>
      <c r="Q1169" t="s">
        <v>137</v>
      </c>
      <c r="R1169" t="s">
        <v>543</v>
      </c>
      <c r="S1169" s="7">
        <v>23518</v>
      </c>
      <c r="T1169" s="3">
        <v>42117</v>
      </c>
      <c r="U1169" s="3">
        <v>42117</v>
      </c>
      <c r="V1169" s="4">
        <v>38.406000000000006</v>
      </c>
      <c r="W1169">
        <v>1</v>
      </c>
      <c r="X1169">
        <v>3.07</v>
      </c>
      <c r="Y1169" s="7">
        <v>88404</v>
      </c>
    </row>
    <row r="1170" spans="1:25" ht="12.75" customHeight="1">
      <c r="A1170">
        <v>21066</v>
      </c>
      <c r="B1170" t="s">
        <v>47</v>
      </c>
      <c r="C1170" s="4">
        <v>7.0000000000000007E-2</v>
      </c>
      <c r="D1170" s="8">
        <v>226.67</v>
      </c>
      <c r="E1170" s="4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 s="5">
        <v>0.59</v>
      </c>
      <c r="O1170" t="s">
        <v>33</v>
      </c>
      <c r="P1170" t="s">
        <v>136</v>
      </c>
      <c r="Q1170" t="s">
        <v>137</v>
      </c>
      <c r="R1170" t="s">
        <v>543</v>
      </c>
      <c r="S1170" s="7">
        <v>23518</v>
      </c>
      <c r="T1170" s="3">
        <v>42061</v>
      </c>
      <c r="U1170" s="3">
        <v>42062</v>
      </c>
      <c r="V1170" s="4">
        <v>53.114399999999996</v>
      </c>
      <c r="W1170">
        <v>1</v>
      </c>
      <c r="X1170">
        <v>255.83</v>
      </c>
      <c r="Y1170" s="7">
        <v>88405</v>
      </c>
    </row>
    <row r="1171" spans="1:25" ht="12.75" customHeight="1">
      <c r="A1171">
        <v>21067</v>
      </c>
      <c r="B1171" t="s">
        <v>47</v>
      </c>
      <c r="C1171" s="4">
        <v>0.08</v>
      </c>
      <c r="D1171" s="8">
        <v>20.98</v>
      </c>
      <c r="E1171" s="4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 s="5">
        <v>0.78</v>
      </c>
      <c r="O1171" t="s">
        <v>33</v>
      </c>
      <c r="P1171" t="s">
        <v>136</v>
      </c>
      <c r="Q1171" t="s">
        <v>137</v>
      </c>
      <c r="R1171" t="s">
        <v>543</v>
      </c>
      <c r="S1171" s="7">
        <v>23518</v>
      </c>
      <c r="T1171" s="3">
        <v>42061</v>
      </c>
      <c r="U1171" s="3">
        <v>42063</v>
      </c>
      <c r="V1171" s="4">
        <v>8.7420000000000009</v>
      </c>
      <c r="W1171">
        <v>20</v>
      </c>
      <c r="X1171">
        <v>421.18</v>
      </c>
      <c r="Y1171" s="7">
        <v>88405</v>
      </c>
    </row>
    <row r="1172" spans="1:25" ht="12.75" customHeight="1">
      <c r="A1172">
        <v>21153</v>
      </c>
      <c r="B1172" t="s">
        <v>56</v>
      </c>
      <c r="C1172" s="4">
        <v>0.02</v>
      </c>
      <c r="D1172" s="8">
        <v>95.95</v>
      </c>
      <c r="E1172" s="4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 s="5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 s="7">
        <v>22124</v>
      </c>
      <c r="T1172" s="3">
        <v>42123</v>
      </c>
      <c r="U1172" s="3">
        <v>42125</v>
      </c>
      <c r="V1172" s="4">
        <v>636.52199999999993</v>
      </c>
      <c r="W1172">
        <v>14</v>
      </c>
      <c r="X1172">
        <v>1377.46</v>
      </c>
      <c r="Y1172" s="7">
        <v>88406</v>
      </c>
    </row>
    <row r="1173" spans="1:25" ht="12.75" customHeight="1">
      <c r="A1173">
        <v>20249</v>
      </c>
      <c r="B1173" t="s">
        <v>25</v>
      </c>
      <c r="C1173" s="4">
        <v>0.03</v>
      </c>
      <c r="D1173" s="8">
        <v>320.98</v>
      </c>
      <c r="E1173" s="4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 s="5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 s="7">
        <v>75401</v>
      </c>
      <c r="T1173" s="3">
        <v>42114</v>
      </c>
      <c r="U1173" s="3">
        <v>42116</v>
      </c>
      <c r="V1173" s="4">
        <v>4554.4346999999998</v>
      </c>
      <c r="W1173">
        <v>20</v>
      </c>
      <c r="X1173">
        <v>6600.63</v>
      </c>
      <c r="Y1173" s="7">
        <v>90891</v>
      </c>
    </row>
    <row r="1174" spans="1:25" ht="12.75" customHeight="1">
      <c r="A1174">
        <v>20250</v>
      </c>
      <c r="B1174" t="s">
        <v>25</v>
      </c>
      <c r="C1174" s="4">
        <v>0.06</v>
      </c>
      <c r="D1174" s="8">
        <v>125.99</v>
      </c>
      <c r="E1174" s="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 s="5">
        <v>0.59</v>
      </c>
      <c r="O1174" t="s">
        <v>33</v>
      </c>
      <c r="P1174" t="s">
        <v>61</v>
      </c>
      <c r="Q1174" t="s">
        <v>130</v>
      </c>
      <c r="R1174" t="s">
        <v>1576</v>
      </c>
      <c r="S1174" s="7">
        <v>75401</v>
      </c>
      <c r="T1174" s="3">
        <v>42114</v>
      </c>
      <c r="U1174" s="3">
        <v>42115</v>
      </c>
      <c r="V1174" s="4">
        <v>618.19308000000001</v>
      </c>
      <c r="W1174">
        <v>18</v>
      </c>
      <c r="X1174">
        <v>1811.99</v>
      </c>
      <c r="Y1174" s="7">
        <v>90891</v>
      </c>
    </row>
    <row r="1175" spans="1:25" ht="12.75" customHeight="1">
      <c r="A1175">
        <v>22231</v>
      </c>
      <c r="B1175" t="s">
        <v>47</v>
      </c>
      <c r="C1175" s="4">
        <v>0.06</v>
      </c>
      <c r="D1175" s="8">
        <v>80.97</v>
      </c>
      <c r="E1175" s="4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 s="5">
        <v>0.37</v>
      </c>
      <c r="O1175" t="s">
        <v>33</v>
      </c>
      <c r="P1175" t="s">
        <v>136</v>
      </c>
      <c r="Q1175" t="s">
        <v>958</v>
      </c>
      <c r="R1175" t="s">
        <v>2033</v>
      </c>
      <c r="S1175" s="7">
        <v>72116</v>
      </c>
      <c r="T1175" s="3">
        <v>42036</v>
      </c>
      <c r="U1175" s="3">
        <v>42038</v>
      </c>
      <c r="V1175" s="4">
        <v>-15.1844</v>
      </c>
      <c r="W1175">
        <v>10</v>
      </c>
      <c r="X1175">
        <v>799.76</v>
      </c>
      <c r="Y1175" s="7">
        <v>89664</v>
      </c>
    </row>
    <row r="1176" spans="1:25" ht="12.75" customHeight="1">
      <c r="A1176">
        <v>24674</v>
      </c>
      <c r="B1176" t="s">
        <v>25</v>
      </c>
      <c r="C1176" s="4">
        <v>0.04</v>
      </c>
      <c r="D1176" s="8">
        <v>45.19</v>
      </c>
      <c r="E1176" s="4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 s="5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 s="7">
        <v>72301</v>
      </c>
      <c r="T1176" s="3">
        <v>42005</v>
      </c>
      <c r="U1176" s="3">
        <v>42006</v>
      </c>
      <c r="V1176" s="4">
        <v>-61.194000000000003</v>
      </c>
      <c r="W1176">
        <v>13</v>
      </c>
      <c r="X1176">
        <v>609.09</v>
      </c>
      <c r="Y1176" s="7">
        <v>89665</v>
      </c>
    </row>
    <row r="1177" spans="1:25" ht="12.75" customHeight="1">
      <c r="A1177">
        <v>23852</v>
      </c>
      <c r="B1177" t="s">
        <v>25</v>
      </c>
      <c r="C1177" s="4">
        <v>0.03</v>
      </c>
      <c r="D1177" s="8">
        <v>124.49</v>
      </c>
      <c r="E1177" s="4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 s="5">
        <v>0.63</v>
      </c>
      <c r="O1177" t="s">
        <v>33</v>
      </c>
      <c r="P1177" t="s">
        <v>136</v>
      </c>
      <c r="Q1177" t="s">
        <v>958</v>
      </c>
      <c r="R1177" t="s">
        <v>2035</v>
      </c>
      <c r="S1177" s="7">
        <v>72301</v>
      </c>
      <c r="T1177" s="3">
        <v>42089</v>
      </c>
      <c r="U1177" s="3">
        <v>42090</v>
      </c>
      <c r="V1177" s="4">
        <v>18.173999999999999</v>
      </c>
      <c r="W1177">
        <v>21</v>
      </c>
      <c r="X1177">
        <v>2761.94</v>
      </c>
      <c r="Y1177" s="7">
        <v>89666</v>
      </c>
    </row>
    <row r="1178" spans="1:25" ht="12.75" customHeight="1">
      <c r="A1178">
        <v>24091</v>
      </c>
      <c r="B1178" t="s">
        <v>47</v>
      </c>
      <c r="C1178" s="4">
        <v>0.1</v>
      </c>
      <c r="D1178" s="8">
        <v>5.98</v>
      </c>
      <c r="E1178" s="4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 s="5">
        <v>0.36</v>
      </c>
      <c r="O1178" t="s">
        <v>33</v>
      </c>
      <c r="P1178" t="s">
        <v>61</v>
      </c>
      <c r="Q1178" t="s">
        <v>300</v>
      </c>
      <c r="R1178" t="s">
        <v>2038</v>
      </c>
      <c r="S1178" s="7">
        <v>48310</v>
      </c>
      <c r="T1178" s="3">
        <v>42081</v>
      </c>
      <c r="U1178" s="3">
        <v>42083</v>
      </c>
      <c r="V1178" s="4">
        <v>-49.53</v>
      </c>
      <c r="W1178">
        <v>6</v>
      </c>
      <c r="X1178">
        <v>33.950000000000003</v>
      </c>
      <c r="Y1178" s="7">
        <v>88418</v>
      </c>
    </row>
    <row r="1179" spans="1:25" ht="12.75" customHeight="1">
      <c r="A1179">
        <v>21902</v>
      </c>
      <c r="B1179" t="s">
        <v>25</v>
      </c>
      <c r="C1179" s="4">
        <v>0.09</v>
      </c>
      <c r="D1179" s="8">
        <v>150.97999999999999</v>
      </c>
      <c r="E1179" s="4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 s="5">
        <v>0.65</v>
      </c>
      <c r="O1179" t="s">
        <v>33</v>
      </c>
      <c r="P1179" t="s">
        <v>61</v>
      </c>
      <c r="Q1179" t="s">
        <v>506</v>
      </c>
      <c r="R1179" t="s">
        <v>2041</v>
      </c>
      <c r="S1179" s="7">
        <v>64118</v>
      </c>
      <c r="T1179" s="3">
        <v>42007</v>
      </c>
      <c r="U1179" s="3">
        <v>42008</v>
      </c>
      <c r="V1179" s="4">
        <v>-407.85</v>
      </c>
      <c r="W1179">
        <v>2</v>
      </c>
      <c r="X1179">
        <v>302.33999999999997</v>
      </c>
      <c r="Y1179" s="7">
        <v>90079</v>
      </c>
    </row>
    <row r="1180" spans="1:25" ht="12.75" customHeight="1">
      <c r="A1180">
        <v>21964</v>
      </c>
      <c r="B1180" t="s">
        <v>106</v>
      </c>
      <c r="C1180" s="4">
        <v>0.05</v>
      </c>
      <c r="D1180" s="8">
        <v>30.42</v>
      </c>
      <c r="E1180" s="4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 s="5">
        <v>0.74</v>
      </c>
      <c r="O1180" t="s">
        <v>33</v>
      </c>
      <c r="P1180" t="s">
        <v>61</v>
      </c>
      <c r="Q1180" t="s">
        <v>506</v>
      </c>
      <c r="R1180" t="s">
        <v>2043</v>
      </c>
      <c r="S1180" s="7">
        <v>63042</v>
      </c>
      <c r="T1180" s="3">
        <v>42014</v>
      </c>
      <c r="U1180" s="3">
        <v>42018</v>
      </c>
      <c r="V1180" s="4">
        <v>-191.25760000000002</v>
      </c>
      <c r="W1180">
        <v>11</v>
      </c>
      <c r="X1180">
        <v>334.44</v>
      </c>
      <c r="Y1180" s="7">
        <v>90078</v>
      </c>
    </row>
    <row r="1181" spans="1:25" ht="12.75" customHeight="1">
      <c r="A1181">
        <v>24348</v>
      </c>
      <c r="B1181" t="s">
        <v>25</v>
      </c>
      <c r="C1181" s="4">
        <v>0.01</v>
      </c>
      <c r="D1181" s="8">
        <v>28.99</v>
      </c>
      <c r="E1181" s="4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 s="5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 s="7">
        <v>88101</v>
      </c>
      <c r="T1181" s="3">
        <v>42041</v>
      </c>
      <c r="U1181" s="3">
        <v>42042</v>
      </c>
      <c r="V1181" s="4">
        <v>196.52328</v>
      </c>
      <c r="W1181">
        <v>21</v>
      </c>
      <c r="X1181">
        <v>556.61</v>
      </c>
      <c r="Y1181" s="7">
        <v>91583</v>
      </c>
    </row>
    <row r="1182" spans="1:25" ht="12.75" customHeight="1">
      <c r="A1182">
        <v>20138</v>
      </c>
      <c r="B1182" t="s">
        <v>37</v>
      </c>
      <c r="C1182" s="4">
        <v>0</v>
      </c>
      <c r="D1182" s="8">
        <v>6.98</v>
      </c>
      <c r="E1182" s="4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 s="5">
        <v>0.38</v>
      </c>
      <c r="O1182" t="s">
        <v>33</v>
      </c>
      <c r="P1182" t="s">
        <v>136</v>
      </c>
      <c r="Q1182" t="s">
        <v>362</v>
      </c>
      <c r="R1182" t="s">
        <v>2048</v>
      </c>
      <c r="S1182" s="7">
        <v>33407</v>
      </c>
      <c r="T1182" s="3">
        <v>42035</v>
      </c>
      <c r="U1182" s="3">
        <v>42037</v>
      </c>
      <c r="V1182" s="4">
        <v>-343.86799999999999</v>
      </c>
      <c r="W1182">
        <v>9</v>
      </c>
      <c r="X1182">
        <v>64.48</v>
      </c>
      <c r="Y1182" s="7">
        <v>86002</v>
      </c>
    </row>
    <row r="1183" spans="1:25" ht="12.75" customHeight="1">
      <c r="A1183">
        <v>20712</v>
      </c>
      <c r="B1183" t="s">
        <v>47</v>
      </c>
      <c r="C1183" s="4">
        <v>0.05</v>
      </c>
      <c r="D1183" s="8">
        <v>2550.14</v>
      </c>
      <c r="E1183" s="4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 s="5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 s="7">
        <v>53094</v>
      </c>
      <c r="T1183" s="3">
        <v>42110</v>
      </c>
      <c r="U1183" s="3">
        <v>42111</v>
      </c>
      <c r="V1183" s="4">
        <v>-3971.0627999999997</v>
      </c>
      <c r="W1183">
        <v>2</v>
      </c>
      <c r="X1183">
        <v>4845.2700000000004</v>
      </c>
      <c r="Y1183" s="7">
        <v>86003</v>
      </c>
    </row>
    <row r="1184" spans="1:25" ht="12.75" customHeight="1">
      <c r="A1184">
        <v>18409</v>
      </c>
      <c r="B1184" t="s">
        <v>25</v>
      </c>
      <c r="C1184" s="4">
        <v>0.01</v>
      </c>
      <c r="D1184" s="8">
        <v>5.44</v>
      </c>
      <c r="E1184" s="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 s="5">
        <v>0.36</v>
      </c>
      <c r="O1184" t="s">
        <v>33</v>
      </c>
      <c r="P1184" t="s">
        <v>34</v>
      </c>
      <c r="Q1184" t="s">
        <v>255</v>
      </c>
      <c r="R1184" t="s">
        <v>1946</v>
      </c>
      <c r="S1184" s="7">
        <v>81301</v>
      </c>
      <c r="T1184" s="3">
        <v>42053</v>
      </c>
      <c r="U1184" s="3">
        <v>42054</v>
      </c>
      <c r="V1184" s="4">
        <v>-18.478199999999998</v>
      </c>
      <c r="W1184">
        <v>3</v>
      </c>
      <c r="X1184">
        <v>19.68</v>
      </c>
      <c r="Y1184" s="7">
        <v>87570</v>
      </c>
    </row>
    <row r="1185" spans="1:25" ht="12.75" customHeight="1">
      <c r="A1185">
        <v>18410</v>
      </c>
      <c r="B1185" t="s">
        <v>25</v>
      </c>
      <c r="C1185" s="4">
        <v>0.02</v>
      </c>
      <c r="D1185" s="8">
        <v>549.99</v>
      </c>
      <c r="E1185" s="4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 s="5">
        <v>0.35</v>
      </c>
      <c r="O1185" t="s">
        <v>33</v>
      </c>
      <c r="P1185" t="s">
        <v>34</v>
      </c>
      <c r="Q1185" t="s">
        <v>255</v>
      </c>
      <c r="R1185" t="s">
        <v>1946</v>
      </c>
      <c r="S1185" s="7">
        <v>81301</v>
      </c>
      <c r="T1185" s="3">
        <v>42053</v>
      </c>
      <c r="U1185" s="3">
        <v>42055</v>
      </c>
      <c r="V1185" s="4">
        <v>-381.84119999999996</v>
      </c>
      <c r="W1185">
        <v>18</v>
      </c>
      <c r="X1185">
        <v>9798.84</v>
      </c>
      <c r="Y1185" s="7">
        <v>87570</v>
      </c>
    </row>
    <row r="1186" spans="1:25" ht="12.75" customHeight="1">
      <c r="A1186">
        <v>18411</v>
      </c>
      <c r="B1186" t="s">
        <v>25</v>
      </c>
      <c r="C1186" s="4">
        <v>0.03</v>
      </c>
      <c r="D1186" s="8">
        <v>22.01</v>
      </c>
      <c r="E1186" s="4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 s="5">
        <v>0.59</v>
      </c>
      <c r="O1186" t="s">
        <v>33</v>
      </c>
      <c r="P1186" t="s">
        <v>34</v>
      </c>
      <c r="Q1186" t="s">
        <v>255</v>
      </c>
      <c r="R1186" t="s">
        <v>1946</v>
      </c>
      <c r="S1186" s="7">
        <v>81301</v>
      </c>
      <c r="T1186" s="3">
        <v>42053</v>
      </c>
      <c r="U1186" s="3">
        <v>42054</v>
      </c>
      <c r="V1186" s="4">
        <v>12.5504</v>
      </c>
      <c r="W1186">
        <v>7</v>
      </c>
      <c r="X1186">
        <v>154.11000000000001</v>
      </c>
      <c r="Y1186" s="7">
        <v>87570</v>
      </c>
    </row>
    <row r="1187" spans="1:25" ht="12.75" customHeight="1">
      <c r="A1187">
        <v>18412</v>
      </c>
      <c r="B1187" t="s">
        <v>25</v>
      </c>
      <c r="C1187" s="4">
        <v>0.09</v>
      </c>
      <c r="D1187" s="8">
        <v>34.76</v>
      </c>
      <c r="E1187" s="4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 s="5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 s="7">
        <v>81301</v>
      </c>
      <c r="T1187" s="3">
        <v>42053</v>
      </c>
      <c r="U1187" s="3">
        <v>42055</v>
      </c>
      <c r="V1187" s="4">
        <v>45.3324</v>
      </c>
      <c r="W1187">
        <v>7</v>
      </c>
      <c r="X1187">
        <v>242.97</v>
      </c>
      <c r="Y1187" s="7">
        <v>87570</v>
      </c>
    </row>
    <row r="1188" spans="1:25" ht="12.75" customHeight="1">
      <c r="A1188">
        <v>23249</v>
      </c>
      <c r="B1188" t="s">
        <v>25</v>
      </c>
      <c r="C1188" s="4">
        <v>0.08</v>
      </c>
      <c r="D1188" s="8">
        <v>17.149999999999999</v>
      </c>
      <c r="E1188" s="4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 s="5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 s="7">
        <v>20151</v>
      </c>
      <c r="T1188" s="3">
        <v>42168</v>
      </c>
      <c r="U1188" s="3">
        <v>42171</v>
      </c>
      <c r="V1188" s="4">
        <v>33.659999999999997</v>
      </c>
      <c r="W1188">
        <v>12</v>
      </c>
      <c r="X1188">
        <v>200.61</v>
      </c>
      <c r="Y1188" s="7">
        <v>87569</v>
      </c>
    </row>
    <row r="1189" spans="1:25" ht="12.75" customHeight="1">
      <c r="A1189">
        <v>24264</v>
      </c>
      <c r="B1189" t="s">
        <v>56</v>
      </c>
      <c r="C1189" s="4">
        <v>0</v>
      </c>
      <c r="D1189" s="8">
        <v>20.28</v>
      </c>
      <c r="E1189" s="4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 s="5">
        <v>0.47</v>
      </c>
      <c r="O1189" t="s">
        <v>33</v>
      </c>
      <c r="P1189" t="s">
        <v>136</v>
      </c>
      <c r="Q1189" t="s">
        <v>362</v>
      </c>
      <c r="R1189" t="s">
        <v>2056</v>
      </c>
      <c r="S1189" s="7">
        <v>33311</v>
      </c>
      <c r="T1189" s="3">
        <v>42045</v>
      </c>
      <c r="U1189" s="3">
        <v>42047</v>
      </c>
      <c r="V1189" s="4">
        <v>15.677999999999999</v>
      </c>
      <c r="W1189">
        <v>11</v>
      </c>
      <c r="X1189">
        <v>237.83</v>
      </c>
      <c r="Y1189" s="7">
        <v>87072</v>
      </c>
    </row>
    <row r="1190" spans="1:25" ht="12.75" customHeight="1">
      <c r="A1190">
        <v>23795</v>
      </c>
      <c r="B1190" t="s">
        <v>106</v>
      </c>
      <c r="C1190" s="4">
        <v>0.05</v>
      </c>
      <c r="D1190" s="8">
        <v>20.34</v>
      </c>
      <c r="E1190" s="4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 s="5">
        <v>0.84</v>
      </c>
      <c r="O1190" t="s">
        <v>33</v>
      </c>
      <c r="P1190" t="s">
        <v>136</v>
      </c>
      <c r="Q1190" t="s">
        <v>137</v>
      </c>
      <c r="R1190" t="s">
        <v>2054</v>
      </c>
      <c r="S1190" s="7">
        <v>20151</v>
      </c>
      <c r="T1190" s="3">
        <v>42010</v>
      </c>
      <c r="U1190" s="3">
        <v>42014</v>
      </c>
      <c r="V1190" s="4">
        <v>52.775999999999996</v>
      </c>
      <c r="W1190">
        <v>2</v>
      </c>
      <c r="X1190">
        <v>53.02</v>
      </c>
      <c r="Y1190" s="7">
        <v>87071</v>
      </c>
    </row>
    <row r="1191" spans="1:25" ht="12.75" customHeight="1">
      <c r="A1191">
        <v>22555</v>
      </c>
      <c r="B1191" t="s">
        <v>37</v>
      </c>
      <c r="C1191" s="4">
        <v>0.08</v>
      </c>
      <c r="D1191" s="8">
        <v>243.98</v>
      </c>
      <c r="E1191" s="4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 s="5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 s="7">
        <v>52001</v>
      </c>
      <c r="T1191" s="3">
        <v>42009</v>
      </c>
      <c r="U1191" s="3">
        <v>42010</v>
      </c>
      <c r="V1191" s="4">
        <v>-162.8244</v>
      </c>
      <c r="W1191">
        <v>1</v>
      </c>
      <c r="X1191">
        <v>248.84</v>
      </c>
      <c r="Y1191" s="7">
        <v>90404</v>
      </c>
    </row>
    <row r="1192" spans="1:25" ht="12.75" customHeight="1">
      <c r="A1192">
        <v>24791</v>
      </c>
      <c r="B1192" t="s">
        <v>25</v>
      </c>
      <c r="C1192" s="4">
        <v>0.08</v>
      </c>
      <c r="D1192" s="8">
        <v>5.74</v>
      </c>
      <c r="E1192" s="4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 s="5">
        <v>0.39</v>
      </c>
      <c r="O1192" t="s">
        <v>33</v>
      </c>
      <c r="P1192" t="s">
        <v>61</v>
      </c>
      <c r="Q1192" t="s">
        <v>330</v>
      </c>
      <c r="R1192" t="s">
        <v>2060</v>
      </c>
      <c r="S1192" s="7">
        <v>52001</v>
      </c>
      <c r="T1192" s="3">
        <v>42044</v>
      </c>
      <c r="U1192" s="3">
        <v>42046</v>
      </c>
      <c r="V1192" s="4">
        <v>-6.9308200000000006</v>
      </c>
      <c r="W1192">
        <v>1</v>
      </c>
      <c r="X1192">
        <v>7.21</v>
      </c>
      <c r="Y1192" s="7">
        <v>90405</v>
      </c>
    </row>
    <row r="1193" spans="1:25" ht="12.75" customHeight="1">
      <c r="A1193">
        <v>21834</v>
      </c>
      <c r="B1193" t="s">
        <v>106</v>
      </c>
      <c r="C1193" s="4">
        <v>0.05</v>
      </c>
      <c r="D1193" s="8">
        <v>55.5</v>
      </c>
      <c r="E1193" s="4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 s="5">
        <v>0.72</v>
      </c>
      <c r="O1193" t="s">
        <v>33</v>
      </c>
      <c r="P1193" t="s">
        <v>61</v>
      </c>
      <c r="Q1193" t="s">
        <v>300</v>
      </c>
      <c r="R1193" t="s">
        <v>2064</v>
      </c>
      <c r="S1193" s="7">
        <v>48093</v>
      </c>
      <c r="T1193" s="3">
        <v>42079</v>
      </c>
      <c r="U1193" s="3">
        <v>42079</v>
      </c>
      <c r="V1193" s="4">
        <v>-118.54</v>
      </c>
      <c r="W1193">
        <v>4</v>
      </c>
      <c r="X1193">
        <v>253.87</v>
      </c>
      <c r="Y1193" s="7">
        <v>90385</v>
      </c>
    </row>
    <row r="1194" spans="1:25" ht="12.75" customHeight="1">
      <c r="A1194">
        <v>21835</v>
      </c>
      <c r="B1194" t="s">
        <v>106</v>
      </c>
      <c r="C1194" s="4">
        <v>0.05</v>
      </c>
      <c r="D1194" s="8">
        <v>442.14</v>
      </c>
      <c r="E1194" s="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 s="5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 s="7">
        <v>48093</v>
      </c>
      <c r="T1194" s="3">
        <v>42079</v>
      </c>
      <c r="U1194" s="3">
        <v>42088</v>
      </c>
      <c r="V1194" s="4">
        <v>2963.48</v>
      </c>
      <c r="W1194">
        <v>14</v>
      </c>
      <c r="X1194">
        <v>5880.46</v>
      </c>
      <c r="Y1194" s="7">
        <v>90385</v>
      </c>
    </row>
    <row r="1195" spans="1:25" ht="12.75" customHeight="1">
      <c r="A1195">
        <v>21975</v>
      </c>
      <c r="B1195" t="s">
        <v>25</v>
      </c>
      <c r="C1195" s="4">
        <v>7.0000000000000007E-2</v>
      </c>
      <c r="D1195" s="8">
        <v>30.93</v>
      </c>
      <c r="E1195" s="4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 s="5">
        <v>0.44</v>
      </c>
      <c r="O1195" t="s">
        <v>33</v>
      </c>
      <c r="P1195" t="s">
        <v>61</v>
      </c>
      <c r="Q1195" t="s">
        <v>300</v>
      </c>
      <c r="R1195" t="s">
        <v>2064</v>
      </c>
      <c r="S1195" s="7">
        <v>48093</v>
      </c>
      <c r="T1195" s="3">
        <v>42127</v>
      </c>
      <c r="U1195" s="3">
        <v>42128</v>
      </c>
      <c r="V1195" s="4">
        <v>398.30249999999995</v>
      </c>
      <c r="W1195">
        <v>19</v>
      </c>
      <c r="X1195">
        <v>577.25</v>
      </c>
      <c r="Y1195" s="7">
        <v>90386</v>
      </c>
    </row>
    <row r="1196" spans="1:25" ht="12.75" customHeight="1">
      <c r="A1196">
        <v>21976</v>
      </c>
      <c r="B1196" t="s">
        <v>25</v>
      </c>
      <c r="C1196" s="4">
        <v>0.05</v>
      </c>
      <c r="D1196" s="8">
        <v>297.48</v>
      </c>
      <c r="E1196" s="4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 s="5">
        <v>0.6</v>
      </c>
      <c r="O1196" t="s">
        <v>33</v>
      </c>
      <c r="P1196" t="s">
        <v>61</v>
      </c>
      <c r="Q1196" t="s">
        <v>300</v>
      </c>
      <c r="R1196" t="s">
        <v>2064</v>
      </c>
      <c r="S1196" s="7">
        <v>48093</v>
      </c>
      <c r="T1196" s="3">
        <v>42127</v>
      </c>
      <c r="U1196" s="3">
        <v>42128</v>
      </c>
      <c r="V1196" s="4">
        <v>709.85200000000009</v>
      </c>
      <c r="W1196">
        <v>14</v>
      </c>
      <c r="X1196">
        <v>4075.18</v>
      </c>
      <c r="Y1196" s="7">
        <v>90386</v>
      </c>
    </row>
    <row r="1197" spans="1:25" ht="12.75" customHeight="1">
      <c r="A1197">
        <v>21977</v>
      </c>
      <c r="B1197" t="s">
        <v>25</v>
      </c>
      <c r="C1197" s="4">
        <v>7.0000000000000007E-2</v>
      </c>
      <c r="D1197" s="8">
        <v>296.18</v>
      </c>
      <c r="E1197" s="4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 s="5">
        <v>0.76</v>
      </c>
      <c r="O1197" t="s">
        <v>33</v>
      </c>
      <c r="P1197" t="s">
        <v>61</v>
      </c>
      <c r="Q1197" t="s">
        <v>300</v>
      </c>
      <c r="R1197" t="s">
        <v>2064</v>
      </c>
      <c r="S1197" s="7">
        <v>48093</v>
      </c>
      <c r="T1197" s="3">
        <v>42127</v>
      </c>
      <c r="U1197" s="3">
        <v>42129</v>
      </c>
      <c r="V1197" s="4">
        <v>80.809200000000089</v>
      </c>
      <c r="W1197">
        <v>6</v>
      </c>
      <c r="X1197">
        <v>1798.23</v>
      </c>
      <c r="Y1197" s="7">
        <v>90386</v>
      </c>
    </row>
    <row r="1198" spans="1:25" ht="12.75" customHeight="1">
      <c r="A1198">
        <v>23775</v>
      </c>
      <c r="B1198" t="s">
        <v>56</v>
      </c>
      <c r="C1198" s="4">
        <v>0.08</v>
      </c>
      <c r="D1198" s="8">
        <v>30.98</v>
      </c>
      <c r="E1198" s="4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 s="5">
        <v>0.4</v>
      </c>
      <c r="O1198" t="s">
        <v>33</v>
      </c>
      <c r="P1198" t="s">
        <v>61</v>
      </c>
      <c r="Q1198" t="s">
        <v>300</v>
      </c>
      <c r="R1198" t="s">
        <v>2067</v>
      </c>
      <c r="S1198" s="7">
        <v>48185</v>
      </c>
      <c r="T1198" s="3">
        <v>42144</v>
      </c>
      <c r="U1198" s="3">
        <v>42145</v>
      </c>
      <c r="V1198" s="4">
        <v>371.27200000000005</v>
      </c>
      <c r="W1198">
        <v>25</v>
      </c>
      <c r="X1198">
        <v>727.2</v>
      </c>
      <c r="Y1198" s="7">
        <v>90387</v>
      </c>
    </row>
    <row r="1199" spans="1:25" ht="12.75" customHeight="1">
      <c r="A1199">
        <v>23773</v>
      </c>
      <c r="B1199" t="s">
        <v>56</v>
      </c>
      <c r="C1199" s="4">
        <v>0.09</v>
      </c>
      <c r="D1199" s="8">
        <v>159.31</v>
      </c>
      <c r="E1199" s="4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 s="5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 s="7">
        <v>16146</v>
      </c>
      <c r="T1199" s="3">
        <v>42144</v>
      </c>
      <c r="U1199" s="3">
        <v>42146</v>
      </c>
      <c r="V1199" s="4">
        <v>77.000895400000104</v>
      </c>
      <c r="W1199">
        <v>41</v>
      </c>
      <c r="X1199">
        <v>6173.42</v>
      </c>
      <c r="Y1199" s="7">
        <v>90387</v>
      </c>
    </row>
    <row r="1200" spans="1:25" ht="12.75" customHeight="1">
      <c r="A1200">
        <v>23774</v>
      </c>
      <c r="B1200" t="s">
        <v>56</v>
      </c>
      <c r="C1200" s="4">
        <v>0.06</v>
      </c>
      <c r="D1200" s="8">
        <v>55.99</v>
      </c>
      <c r="E1200" s="4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 s="5">
        <v>0.83</v>
      </c>
      <c r="O1200" t="s">
        <v>33</v>
      </c>
      <c r="P1200" t="s">
        <v>53</v>
      </c>
      <c r="Q1200" t="s">
        <v>234</v>
      </c>
      <c r="R1200" t="s">
        <v>2070</v>
      </c>
      <c r="S1200" s="7">
        <v>16146</v>
      </c>
      <c r="T1200" s="3">
        <v>42144</v>
      </c>
      <c r="U1200" s="3">
        <v>42146</v>
      </c>
      <c r="V1200" s="4">
        <v>27.968600000000009</v>
      </c>
      <c r="W1200">
        <v>33</v>
      </c>
      <c r="X1200">
        <v>1553.7</v>
      </c>
      <c r="Y1200" s="7">
        <v>90387</v>
      </c>
    </row>
    <row r="1201" spans="1:25" ht="12.75" customHeight="1">
      <c r="A1201">
        <v>22450</v>
      </c>
      <c r="B1201" t="s">
        <v>37</v>
      </c>
      <c r="C1201" s="4">
        <v>0.01</v>
      </c>
      <c r="D1201" s="8">
        <v>5.38</v>
      </c>
      <c r="E1201" s="4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 s="5">
        <v>0.36</v>
      </c>
      <c r="O1201" t="s">
        <v>33</v>
      </c>
      <c r="P1201" t="s">
        <v>34</v>
      </c>
      <c r="Q1201" t="s">
        <v>45</v>
      </c>
      <c r="R1201" t="s">
        <v>2073</v>
      </c>
      <c r="S1201" s="7">
        <v>91104</v>
      </c>
      <c r="T1201" s="3">
        <v>42013</v>
      </c>
      <c r="U1201" s="3">
        <v>42014</v>
      </c>
      <c r="V1201" s="4">
        <v>-66.779579999999996</v>
      </c>
      <c r="W1201">
        <v>3</v>
      </c>
      <c r="X1201">
        <v>18.68</v>
      </c>
      <c r="Y1201" s="7">
        <v>88794</v>
      </c>
    </row>
    <row r="1202" spans="1:25" ht="12.75" customHeight="1">
      <c r="A1202">
        <v>22451</v>
      </c>
      <c r="B1202" t="s">
        <v>37</v>
      </c>
      <c r="C1202" s="4">
        <v>0.05</v>
      </c>
      <c r="D1202" s="8">
        <v>3.28</v>
      </c>
      <c r="E1202" s="4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 s="5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 s="7">
        <v>91104</v>
      </c>
      <c r="T1202" s="3">
        <v>42013</v>
      </c>
      <c r="U1202" s="3">
        <v>42013</v>
      </c>
      <c r="V1202" s="4">
        <v>-144.9188</v>
      </c>
      <c r="W1202">
        <v>11</v>
      </c>
      <c r="X1202">
        <v>36.299999999999997</v>
      </c>
      <c r="Y1202" s="7">
        <v>88794</v>
      </c>
    </row>
    <row r="1203" spans="1:25" ht="12.75" customHeight="1">
      <c r="A1203">
        <v>22449</v>
      </c>
      <c r="B1203" t="s">
        <v>37</v>
      </c>
      <c r="C1203" s="4">
        <v>0.09</v>
      </c>
      <c r="D1203" s="8">
        <v>2.78</v>
      </c>
      <c r="E1203" s="4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 s="5">
        <v>0.59</v>
      </c>
      <c r="O1203" t="s">
        <v>33</v>
      </c>
      <c r="P1203" t="s">
        <v>53</v>
      </c>
      <c r="Q1203" t="s">
        <v>188</v>
      </c>
      <c r="R1203" t="s">
        <v>1045</v>
      </c>
      <c r="S1203" s="7">
        <v>4330</v>
      </c>
      <c r="T1203" s="3">
        <v>42013</v>
      </c>
      <c r="U1203" s="3">
        <v>42015</v>
      </c>
      <c r="V1203" s="4">
        <v>-5.0716000000000001</v>
      </c>
      <c r="W1203">
        <v>6</v>
      </c>
      <c r="X1203">
        <v>16.03</v>
      </c>
      <c r="Y1203" s="7">
        <v>88794</v>
      </c>
    </row>
    <row r="1204" spans="1:25" ht="12.75" customHeight="1">
      <c r="A1204">
        <v>20980</v>
      </c>
      <c r="B1204" t="s">
        <v>56</v>
      </c>
      <c r="C1204" s="4">
        <v>0.08</v>
      </c>
      <c r="D1204" s="8">
        <v>2.94</v>
      </c>
      <c r="E1204" s="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 s="5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 s="7">
        <v>1610</v>
      </c>
      <c r="T1204" s="3">
        <v>42031</v>
      </c>
      <c r="U1204" s="3">
        <v>42033</v>
      </c>
      <c r="V1204" s="4">
        <v>-1.18</v>
      </c>
      <c r="W1204">
        <v>9</v>
      </c>
      <c r="X1204">
        <v>25.35</v>
      </c>
      <c r="Y1204" s="7">
        <v>89465</v>
      </c>
    </row>
    <row r="1205" spans="1:25" ht="12.75" customHeight="1">
      <c r="A1205">
        <v>26331</v>
      </c>
      <c r="B1205" t="s">
        <v>37</v>
      </c>
      <c r="C1205" s="4">
        <v>0</v>
      </c>
      <c r="D1205" s="8">
        <v>1.48</v>
      </c>
      <c r="E1205" s="4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 s="5">
        <v>0.37</v>
      </c>
      <c r="O1205" t="s">
        <v>33</v>
      </c>
      <c r="P1205" t="s">
        <v>136</v>
      </c>
      <c r="Q1205" t="s">
        <v>613</v>
      </c>
      <c r="R1205" t="s">
        <v>2079</v>
      </c>
      <c r="S1205" s="7">
        <v>42301</v>
      </c>
      <c r="T1205" s="3">
        <v>42170</v>
      </c>
      <c r="U1205" s="3">
        <v>42172</v>
      </c>
      <c r="V1205" s="4">
        <v>-203.09799999999998</v>
      </c>
      <c r="W1205">
        <v>12</v>
      </c>
      <c r="X1205">
        <v>19.32</v>
      </c>
      <c r="Y1205" s="7">
        <v>91571</v>
      </c>
    </row>
    <row r="1206" spans="1:25" ht="12.75" customHeight="1">
      <c r="A1206">
        <v>19008</v>
      </c>
      <c r="B1206" t="s">
        <v>25</v>
      </c>
      <c r="C1206" s="4">
        <v>0.09</v>
      </c>
      <c r="D1206" s="8">
        <v>16.98</v>
      </c>
      <c r="E1206" s="4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 s="5">
        <v>0.35</v>
      </c>
      <c r="O1206" t="s">
        <v>33</v>
      </c>
      <c r="P1206" t="s">
        <v>61</v>
      </c>
      <c r="Q1206" t="s">
        <v>506</v>
      </c>
      <c r="R1206" t="s">
        <v>2082</v>
      </c>
      <c r="S1206" s="7">
        <v>64055</v>
      </c>
      <c r="T1206" s="3">
        <v>42132</v>
      </c>
      <c r="U1206" s="3">
        <v>42134</v>
      </c>
      <c r="V1206" s="4">
        <v>-48.57</v>
      </c>
      <c r="W1206">
        <v>5</v>
      </c>
      <c r="X1206">
        <v>86.8</v>
      </c>
      <c r="Y1206" s="7">
        <v>89440</v>
      </c>
    </row>
    <row r="1207" spans="1:25" ht="12.75" customHeight="1">
      <c r="A1207">
        <v>1008</v>
      </c>
      <c r="B1207" t="s">
        <v>25</v>
      </c>
      <c r="C1207" s="4">
        <v>0.09</v>
      </c>
      <c r="D1207" s="8">
        <v>16.98</v>
      </c>
      <c r="E1207" s="4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 s="5">
        <v>0.35</v>
      </c>
      <c r="O1207" t="s">
        <v>33</v>
      </c>
      <c r="P1207" t="s">
        <v>53</v>
      </c>
      <c r="Q1207" t="s">
        <v>71</v>
      </c>
      <c r="R1207" t="s">
        <v>90</v>
      </c>
      <c r="S1207" s="7">
        <v>10177</v>
      </c>
      <c r="T1207" s="3">
        <v>42132</v>
      </c>
      <c r="U1207" s="3">
        <v>42134</v>
      </c>
      <c r="V1207" s="4">
        <v>-48.57</v>
      </c>
      <c r="W1207">
        <v>22</v>
      </c>
      <c r="X1207">
        <v>381.91</v>
      </c>
      <c r="Y1207" s="7">
        <v>7364</v>
      </c>
    </row>
    <row r="1208" spans="1:25" ht="12.75" customHeight="1">
      <c r="A1208">
        <v>5870</v>
      </c>
      <c r="B1208" t="s">
        <v>47</v>
      </c>
      <c r="C1208" s="4">
        <v>0.05</v>
      </c>
      <c r="D1208" s="8">
        <v>16.98</v>
      </c>
      <c r="E1208" s="4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 s="5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 s="7">
        <v>48227</v>
      </c>
      <c r="T1208" s="3">
        <v>42049</v>
      </c>
      <c r="U1208" s="3">
        <v>42051</v>
      </c>
      <c r="V1208" s="4">
        <v>-47.28</v>
      </c>
      <c r="W1208">
        <v>45</v>
      </c>
      <c r="X1208">
        <v>761.67</v>
      </c>
      <c r="Y1208" s="7">
        <v>41636</v>
      </c>
    </row>
    <row r="1209" spans="1:25" ht="12.75" customHeight="1">
      <c r="A1209">
        <v>5871</v>
      </c>
      <c r="B1209" t="s">
        <v>47</v>
      </c>
      <c r="C1209" s="4">
        <v>0.03</v>
      </c>
      <c r="D1209" s="8">
        <v>115.99</v>
      </c>
      <c r="E1209" s="4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 s="5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 s="7">
        <v>48227</v>
      </c>
      <c r="T1209" s="3">
        <v>42049</v>
      </c>
      <c r="U1209" s="3">
        <v>42051</v>
      </c>
      <c r="V1209" s="4">
        <v>722.24099999999999</v>
      </c>
      <c r="W1209">
        <v>49</v>
      </c>
      <c r="X1209">
        <v>5014.07</v>
      </c>
      <c r="Y1209" s="7">
        <v>41636</v>
      </c>
    </row>
    <row r="1210" spans="1:25" ht="12.75" customHeight="1">
      <c r="A1210">
        <v>23870</v>
      </c>
      <c r="B1210" t="s">
        <v>47</v>
      </c>
      <c r="C1210" s="4">
        <v>0.05</v>
      </c>
      <c r="D1210" s="8">
        <v>16.98</v>
      </c>
      <c r="E1210" s="4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 s="5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 s="7">
        <v>28560</v>
      </c>
      <c r="T1210" s="3">
        <v>42049</v>
      </c>
      <c r="U1210" s="3">
        <v>42051</v>
      </c>
      <c r="V1210" s="4">
        <v>-161</v>
      </c>
      <c r="W1210">
        <v>11</v>
      </c>
      <c r="X1210">
        <v>186.19</v>
      </c>
      <c r="Y1210" s="7">
        <v>90685</v>
      </c>
    </row>
    <row r="1211" spans="1:25" ht="12.75" customHeight="1">
      <c r="A1211">
        <v>23871</v>
      </c>
      <c r="B1211" t="s">
        <v>47</v>
      </c>
      <c r="C1211" s="4">
        <v>0.03</v>
      </c>
      <c r="D1211" s="8">
        <v>115.99</v>
      </c>
      <c r="E1211" s="4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 s="5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 s="7">
        <v>28560</v>
      </c>
      <c r="T1211" s="3">
        <v>42049</v>
      </c>
      <c r="U1211" s="3">
        <v>42051</v>
      </c>
      <c r="V1211" s="4">
        <v>848.3646</v>
      </c>
      <c r="W1211">
        <v>12</v>
      </c>
      <c r="X1211">
        <v>1227.94</v>
      </c>
      <c r="Y1211" s="7">
        <v>90685</v>
      </c>
    </row>
    <row r="1212" spans="1:25" ht="12.75" customHeight="1">
      <c r="A1212">
        <v>19112</v>
      </c>
      <c r="B1212" t="s">
        <v>56</v>
      </c>
      <c r="C1212" s="4">
        <v>0.03</v>
      </c>
      <c r="D1212" s="8">
        <v>27.48</v>
      </c>
      <c r="E1212" s="4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 s="5">
        <v>0.75</v>
      </c>
      <c r="O1212" t="s">
        <v>33</v>
      </c>
      <c r="P1212" t="s">
        <v>53</v>
      </c>
      <c r="Q1212" t="s">
        <v>71</v>
      </c>
      <c r="R1212" t="s">
        <v>2090</v>
      </c>
      <c r="S1212" s="7">
        <v>14701</v>
      </c>
      <c r="T1212" s="3">
        <v>42101</v>
      </c>
      <c r="U1212" s="3">
        <v>42102</v>
      </c>
      <c r="V1212" s="4">
        <v>-88.840800000000002</v>
      </c>
      <c r="W1212">
        <v>11</v>
      </c>
      <c r="X1212">
        <v>294.97000000000003</v>
      </c>
      <c r="Y1212" s="7">
        <v>89175</v>
      </c>
    </row>
    <row r="1213" spans="1:25" ht="12.75" customHeight="1">
      <c r="A1213">
        <v>19113</v>
      </c>
      <c r="B1213" t="s">
        <v>56</v>
      </c>
      <c r="C1213" s="4">
        <v>0.1</v>
      </c>
      <c r="D1213" s="8">
        <v>179.99</v>
      </c>
      <c r="E1213" s="4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 s="5">
        <v>0.48</v>
      </c>
      <c r="O1213" t="s">
        <v>33</v>
      </c>
      <c r="P1213" t="s">
        <v>53</v>
      </c>
      <c r="Q1213" t="s">
        <v>71</v>
      </c>
      <c r="R1213" t="s">
        <v>2090</v>
      </c>
      <c r="S1213" s="7">
        <v>14701</v>
      </c>
      <c r="T1213" s="3">
        <v>42101</v>
      </c>
      <c r="U1213" s="3">
        <v>42102</v>
      </c>
      <c r="V1213" s="4">
        <v>1208.9903999999999</v>
      </c>
      <c r="W1213">
        <v>14</v>
      </c>
      <c r="X1213">
        <v>2458.0500000000002</v>
      </c>
      <c r="Y1213" s="7">
        <v>89175</v>
      </c>
    </row>
    <row r="1214" spans="1:25" ht="12.75" customHeight="1">
      <c r="A1214">
        <v>19114</v>
      </c>
      <c r="B1214" t="s">
        <v>56</v>
      </c>
      <c r="C1214" s="4">
        <v>0.1</v>
      </c>
      <c r="D1214" s="8">
        <v>140.85</v>
      </c>
      <c r="E1214" s="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 s="5">
        <v>0.73</v>
      </c>
      <c r="O1214" t="s">
        <v>33</v>
      </c>
      <c r="P1214" t="s">
        <v>53</v>
      </c>
      <c r="Q1214" t="s">
        <v>71</v>
      </c>
      <c r="R1214" t="s">
        <v>2090</v>
      </c>
      <c r="S1214" s="7">
        <v>14701</v>
      </c>
      <c r="T1214" s="3">
        <v>42101</v>
      </c>
      <c r="U1214" s="3">
        <v>42103</v>
      </c>
      <c r="V1214" s="4">
        <v>9.9911999999999992</v>
      </c>
      <c r="W1214">
        <v>19</v>
      </c>
      <c r="X1214">
        <v>2465.75</v>
      </c>
      <c r="Y1214" s="7">
        <v>89175</v>
      </c>
    </row>
    <row r="1215" spans="1:25" ht="12.75" customHeight="1">
      <c r="A1215">
        <v>23300</v>
      </c>
      <c r="B1215" t="s">
        <v>47</v>
      </c>
      <c r="C1215" s="4">
        <v>0.08</v>
      </c>
      <c r="D1215" s="8">
        <v>100.97</v>
      </c>
      <c r="E1215" s="4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 s="5">
        <v>0.46</v>
      </c>
      <c r="O1215" t="s">
        <v>33</v>
      </c>
      <c r="P1215" t="s">
        <v>53</v>
      </c>
      <c r="Q1215" t="s">
        <v>71</v>
      </c>
      <c r="R1215" t="s">
        <v>1706</v>
      </c>
      <c r="S1215" s="7">
        <v>11756</v>
      </c>
      <c r="T1215" s="3">
        <v>42181</v>
      </c>
      <c r="U1215" s="3">
        <v>42182</v>
      </c>
      <c r="V1215" s="4">
        <v>126.22500000000001</v>
      </c>
      <c r="W1215">
        <v>7</v>
      </c>
      <c r="X1215">
        <v>650.25</v>
      </c>
      <c r="Y1215" s="7">
        <v>89176</v>
      </c>
    </row>
    <row r="1216" spans="1:25" ht="12.75" customHeight="1">
      <c r="A1216">
        <v>23301</v>
      </c>
      <c r="B1216" t="s">
        <v>47</v>
      </c>
      <c r="C1216" s="4">
        <v>0</v>
      </c>
      <c r="D1216" s="8">
        <v>13.4</v>
      </c>
      <c r="E1216" s="4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 s="5">
        <v>0.37</v>
      </c>
      <c r="O1216" t="s">
        <v>33</v>
      </c>
      <c r="P1216" t="s">
        <v>53</v>
      </c>
      <c r="Q1216" t="s">
        <v>71</v>
      </c>
      <c r="R1216" t="s">
        <v>1706</v>
      </c>
      <c r="S1216" s="7">
        <v>11756</v>
      </c>
      <c r="T1216" s="3">
        <v>42181</v>
      </c>
      <c r="U1216" s="3">
        <v>42182</v>
      </c>
      <c r="V1216" s="4">
        <v>187.7628</v>
      </c>
      <c r="W1216">
        <v>19</v>
      </c>
      <c r="X1216">
        <v>272.12</v>
      </c>
      <c r="Y1216" s="7">
        <v>89176</v>
      </c>
    </row>
    <row r="1217" spans="1:25" ht="12.75" customHeight="1">
      <c r="A1217">
        <v>26083</v>
      </c>
      <c r="B1217" t="s">
        <v>37</v>
      </c>
      <c r="C1217" s="4">
        <v>0.03</v>
      </c>
      <c r="D1217" s="8">
        <v>25.98</v>
      </c>
      <c r="E1217" s="4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 s="5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 s="7">
        <v>11757</v>
      </c>
      <c r="T1217" s="3">
        <v>42146</v>
      </c>
      <c r="U1217" s="3">
        <v>42149</v>
      </c>
      <c r="V1217" s="4">
        <v>295.90649999999999</v>
      </c>
      <c r="W1217">
        <v>16</v>
      </c>
      <c r="X1217">
        <v>428.85</v>
      </c>
      <c r="Y1217" s="7">
        <v>89174</v>
      </c>
    </row>
    <row r="1218" spans="1:25" ht="12.75" customHeight="1">
      <c r="A1218">
        <v>26084</v>
      </c>
      <c r="B1218" t="s">
        <v>37</v>
      </c>
      <c r="C1218" s="4">
        <v>0.1</v>
      </c>
      <c r="D1218" s="8">
        <v>20.98</v>
      </c>
      <c r="E1218" s="4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 s="5">
        <v>0.78</v>
      </c>
      <c r="O1218" t="s">
        <v>33</v>
      </c>
      <c r="P1218" t="s">
        <v>53</v>
      </c>
      <c r="Q1218" t="s">
        <v>71</v>
      </c>
      <c r="R1218" t="s">
        <v>2096</v>
      </c>
      <c r="S1218" s="7">
        <v>11757</v>
      </c>
      <c r="T1218" s="3">
        <v>42146</v>
      </c>
      <c r="U1218" s="3">
        <v>42146</v>
      </c>
      <c r="V1218" s="4">
        <v>-2111.36</v>
      </c>
      <c r="W1218">
        <v>16</v>
      </c>
      <c r="X1218">
        <v>342.54</v>
      </c>
      <c r="Y1218" s="7">
        <v>89174</v>
      </c>
    </row>
    <row r="1219" spans="1:25" ht="12.75" customHeight="1">
      <c r="A1219">
        <v>20234</v>
      </c>
      <c r="B1219" t="s">
        <v>47</v>
      </c>
      <c r="C1219" s="4">
        <v>0.17</v>
      </c>
      <c r="D1219" s="8">
        <v>14.89</v>
      </c>
      <c r="E1219" s="4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 s="5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 s="7">
        <v>55420</v>
      </c>
      <c r="T1219" s="3">
        <v>42088</v>
      </c>
      <c r="U1219" s="3">
        <v>42090</v>
      </c>
      <c r="V1219" s="4">
        <v>-9.1300000000000008</v>
      </c>
      <c r="W1219">
        <v>1</v>
      </c>
      <c r="X1219">
        <v>27.96</v>
      </c>
      <c r="Y1219" s="7">
        <v>86054</v>
      </c>
    </row>
    <row r="1220" spans="1:25" ht="12.75" customHeight="1">
      <c r="A1220">
        <v>22259</v>
      </c>
      <c r="B1220" t="s">
        <v>106</v>
      </c>
      <c r="C1220" s="4">
        <v>0.09</v>
      </c>
      <c r="D1220" s="8">
        <v>160.97999999999999</v>
      </c>
      <c r="E1220" s="4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 s="5">
        <v>0.62</v>
      </c>
      <c r="O1220" t="s">
        <v>33</v>
      </c>
      <c r="P1220" t="s">
        <v>61</v>
      </c>
      <c r="Q1220" t="s">
        <v>62</v>
      </c>
      <c r="R1220" t="s">
        <v>2100</v>
      </c>
      <c r="S1220" s="7">
        <v>55429</v>
      </c>
      <c r="T1220" s="3">
        <v>42035</v>
      </c>
      <c r="U1220" s="3">
        <v>42035</v>
      </c>
      <c r="V1220" s="4">
        <v>357.428</v>
      </c>
      <c r="W1220">
        <v>11</v>
      </c>
      <c r="X1220">
        <v>1635.38</v>
      </c>
      <c r="Y1220" s="7">
        <v>86050</v>
      </c>
    </row>
    <row r="1221" spans="1:25" ht="12.75" customHeight="1">
      <c r="A1221">
        <v>22260</v>
      </c>
      <c r="B1221" t="s">
        <v>106</v>
      </c>
      <c r="C1221" s="4">
        <v>0.09</v>
      </c>
      <c r="D1221" s="8">
        <v>6.3</v>
      </c>
      <c r="E1221" s="4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 s="5">
        <v>0.39</v>
      </c>
      <c r="O1221" t="s">
        <v>33</v>
      </c>
      <c r="P1221" t="s">
        <v>61</v>
      </c>
      <c r="Q1221" t="s">
        <v>62</v>
      </c>
      <c r="R1221" t="s">
        <v>2100</v>
      </c>
      <c r="S1221" s="7">
        <v>55429</v>
      </c>
      <c r="T1221" s="3">
        <v>42035</v>
      </c>
      <c r="U1221" s="3">
        <v>42035</v>
      </c>
      <c r="V1221" s="4">
        <v>40.351199999999992</v>
      </c>
      <c r="W1221">
        <v>10</v>
      </c>
      <c r="X1221">
        <v>58.48</v>
      </c>
      <c r="Y1221" s="7">
        <v>86050</v>
      </c>
    </row>
    <row r="1222" spans="1:25" ht="12.75" customHeight="1">
      <c r="A1222">
        <v>22261</v>
      </c>
      <c r="B1222" t="s">
        <v>106</v>
      </c>
      <c r="C1222" s="4">
        <v>0</v>
      </c>
      <c r="D1222" s="8">
        <v>4.9800000000000004</v>
      </c>
      <c r="E1222" s="4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 s="5">
        <v>0.36</v>
      </c>
      <c r="O1222" t="s">
        <v>33</v>
      </c>
      <c r="P1222" t="s">
        <v>61</v>
      </c>
      <c r="Q1222" t="s">
        <v>62</v>
      </c>
      <c r="R1222" t="s">
        <v>2100</v>
      </c>
      <c r="S1222" s="7">
        <v>55429</v>
      </c>
      <c r="T1222" s="3">
        <v>42035</v>
      </c>
      <c r="U1222" s="3">
        <v>42042</v>
      </c>
      <c r="V1222" s="4">
        <v>27.634499999999996</v>
      </c>
      <c r="W1222">
        <v>8</v>
      </c>
      <c r="X1222">
        <v>40.049999999999997</v>
      </c>
      <c r="Y1222" s="7">
        <v>86050</v>
      </c>
    </row>
    <row r="1223" spans="1:25" ht="12.75" customHeight="1">
      <c r="A1223">
        <v>23919</v>
      </c>
      <c r="B1223" t="s">
        <v>106</v>
      </c>
      <c r="C1223" s="4">
        <v>0.08</v>
      </c>
      <c r="D1223" s="8">
        <v>145.44999999999999</v>
      </c>
      <c r="E1223" s="4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 s="5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 s="7">
        <v>55445</v>
      </c>
      <c r="T1223" s="3">
        <v>42039</v>
      </c>
      <c r="U1223" s="3">
        <v>42039</v>
      </c>
      <c r="V1223" s="4">
        <v>751.58</v>
      </c>
      <c r="W1223">
        <v>8</v>
      </c>
      <c r="X1223">
        <v>1117.6600000000001</v>
      </c>
      <c r="Y1223" s="7">
        <v>86051</v>
      </c>
    </row>
    <row r="1224" spans="1:25" ht="12.75" customHeight="1">
      <c r="A1224">
        <v>22595</v>
      </c>
      <c r="B1224" t="s">
        <v>47</v>
      </c>
      <c r="C1224" s="4">
        <v>0.03</v>
      </c>
      <c r="D1224" s="8">
        <v>399.98</v>
      </c>
      <c r="E1224" s="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 s="5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 s="7">
        <v>55445</v>
      </c>
      <c r="T1224" s="3">
        <v>42008</v>
      </c>
      <c r="U1224" s="3">
        <v>42010</v>
      </c>
      <c r="V1224" s="4">
        <v>-663.51419999999996</v>
      </c>
      <c r="W1224">
        <v>2</v>
      </c>
      <c r="X1224">
        <v>807</v>
      </c>
      <c r="Y1224" s="7">
        <v>86052</v>
      </c>
    </row>
    <row r="1225" spans="1:25" ht="12.75" customHeight="1">
      <c r="A1225">
        <v>23920</v>
      </c>
      <c r="B1225" t="s">
        <v>106</v>
      </c>
      <c r="C1225" s="4">
        <v>7.0000000000000007E-2</v>
      </c>
      <c r="D1225" s="8">
        <v>33.94</v>
      </c>
      <c r="E1225" s="4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 s="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 s="7">
        <v>55337</v>
      </c>
      <c r="T1225" s="3">
        <v>42039</v>
      </c>
      <c r="U1225" s="3">
        <v>42043</v>
      </c>
      <c r="V1225" s="4">
        <v>-157.56</v>
      </c>
      <c r="W1225">
        <v>5</v>
      </c>
      <c r="X1225">
        <v>169.46</v>
      </c>
      <c r="Y1225" s="7">
        <v>86051</v>
      </c>
    </row>
    <row r="1226" spans="1:25" ht="12.75" customHeight="1">
      <c r="A1226">
        <v>24434</v>
      </c>
      <c r="B1226" t="s">
        <v>47</v>
      </c>
      <c r="C1226" s="4">
        <v>0.04</v>
      </c>
      <c r="D1226" s="8">
        <v>296.18</v>
      </c>
      <c r="E1226" s="4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 s="5">
        <v>0.76</v>
      </c>
      <c r="O1226" t="s">
        <v>33</v>
      </c>
      <c r="P1226" t="s">
        <v>61</v>
      </c>
      <c r="Q1226" t="s">
        <v>62</v>
      </c>
      <c r="R1226" t="s">
        <v>2104</v>
      </c>
      <c r="S1226" s="7">
        <v>55337</v>
      </c>
      <c r="T1226" s="3">
        <v>42045</v>
      </c>
      <c r="U1226" s="3">
        <v>42046</v>
      </c>
      <c r="V1226" s="4">
        <v>-87.998040000000003</v>
      </c>
      <c r="W1226">
        <v>20</v>
      </c>
      <c r="X1226">
        <v>5768.12</v>
      </c>
      <c r="Y1226" s="7">
        <v>86053</v>
      </c>
    </row>
    <row r="1227" spans="1:25" ht="12.75" customHeight="1">
      <c r="A1227">
        <v>18164</v>
      </c>
      <c r="B1227" t="s">
        <v>25</v>
      </c>
      <c r="C1227" s="4">
        <v>0.03</v>
      </c>
      <c r="D1227" s="8">
        <v>28.48</v>
      </c>
      <c r="E1227" s="4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 s="5">
        <v>0.4</v>
      </c>
      <c r="O1227" t="s">
        <v>33</v>
      </c>
      <c r="P1227" t="s">
        <v>61</v>
      </c>
      <c r="Q1227" t="s">
        <v>330</v>
      </c>
      <c r="R1227" t="s">
        <v>2106</v>
      </c>
      <c r="S1227" s="7">
        <v>50501</v>
      </c>
      <c r="T1227" s="3">
        <v>42009</v>
      </c>
      <c r="U1227" s="3">
        <v>42010</v>
      </c>
      <c r="V1227" s="4">
        <v>-35.290399999999998</v>
      </c>
      <c r="W1227">
        <v>2</v>
      </c>
      <c r="X1227">
        <v>55.25</v>
      </c>
      <c r="Y1227" s="7">
        <v>86258</v>
      </c>
    </row>
    <row r="1228" spans="1:25" ht="12.75" customHeight="1">
      <c r="A1228">
        <v>18165</v>
      </c>
      <c r="B1228" t="s">
        <v>25</v>
      </c>
      <c r="C1228" s="4">
        <v>0.01</v>
      </c>
      <c r="D1228" s="8">
        <v>205.99</v>
      </c>
      <c r="E1228" s="4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 s="5">
        <v>0.59</v>
      </c>
      <c r="O1228" t="s">
        <v>33</v>
      </c>
      <c r="P1228" t="s">
        <v>61</v>
      </c>
      <c r="Q1228" t="s">
        <v>330</v>
      </c>
      <c r="R1228" t="s">
        <v>2106</v>
      </c>
      <c r="S1228" s="7">
        <v>50501</v>
      </c>
      <c r="T1228" s="3">
        <v>42009</v>
      </c>
      <c r="U1228" s="3">
        <v>42011</v>
      </c>
      <c r="V1228" s="4">
        <v>-74.883600000000001</v>
      </c>
      <c r="W1228">
        <v>3</v>
      </c>
      <c r="X1228">
        <v>551.22</v>
      </c>
      <c r="Y1228" s="7">
        <v>86258</v>
      </c>
    </row>
    <row r="1229" spans="1:25" ht="12.75" customHeight="1">
      <c r="A1229">
        <v>23317</v>
      </c>
      <c r="B1229" t="s">
        <v>106</v>
      </c>
      <c r="C1229" s="4">
        <v>0.06</v>
      </c>
      <c r="D1229" s="8">
        <v>6.98</v>
      </c>
      <c r="E1229" s="4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 s="5">
        <v>0.38</v>
      </c>
      <c r="O1229" t="s">
        <v>33</v>
      </c>
      <c r="P1229" t="s">
        <v>136</v>
      </c>
      <c r="Q1229" t="s">
        <v>387</v>
      </c>
      <c r="R1229" t="s">
        <v>2109</v>
      </c>
      <c r="S1229" s="7">
        <v>30337</v>
      </c>
      <c r="T1229" s="3">
        <v>42026</v>
      </c>
      <c r="U1229" s="3">
        <v>42033</v>
      </c>
      <c r="V1229" s="4">
        <v>-98.056000000000012</v>
      </c>
      <c r="W1229">
        <v>12</v>
      </c>
      <c r="X1229">
        <v>83.93</v>
      </c>
      <c r="Y1229" s="7">
        <v>88030</v>
      </c>
    </row>
    <row r="1230" spans="1:25" ht="12.75" customHeight="1">
      <c r="A1230">
        <v>19914</v>
      </c>
      <c r="B1230" t="s">
        <v>37</v>
      </c>
      <c r="C1230" s="4">
        <v>0.08</v>
      </c>
      <c r="D1230" s="8">
        <v>95.99</v>
      </c>
      <c r="E1230" s="4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 s="7">
        <v>20715</v>
      </c>
      <c r="T1230" s="3">
        <v>42005</v>
      </c>
      <c r="U1230" s="3">
        <v>42007</v>
      </c>
      <c r="V1230" s="4">
        <v>-425.20840000000004</v>
      </c>
      <c r="W1230">
        <v>2</v>
      </c>
      <c r="X1230">
        <v>193.88</v>
      </c>
      <c r="Y1230" s="7">
        <v>88028</v>
      </c>
    </row>
    <row r="1231" spans="1:25" ht="12.75" customHeight="1">
      <c r="A1231">
        <v>24756</v>
      </c>
      <c r="B1231" t="s">
        <v>25</v>
      </c>
      <c r="C1231" s="4">
        <v>0.09</v>
      </c>
      <c r="D1231" s="8">
        <v>199.99</v>
      </c>
      <c r="E1231" s="4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 s="5">
        <v>0.46</v>
      </c>
      <c r="O1231" t="s">
        <v>33</v>
      </c>
      <c r="P1231" t="s">
        <v>53</v>
      </c>
      <c r="Q1231" t="s">
        <v>415</v>
      </c>
      <c r="R1231" t="s">
        <v>2114</v>
      </c>
      <c r="S1231" s="7">
        <v>21228</v>
      </c>
      <c r="T1231" s="3">
        <v>42113</v>
      </c>
      <c r="U1231" s="3">
        <v>42115</v>
      </c>
      <c r="V1231" s="4">
        <v>631.33000000000004</v>
      </c>
      <c r="W1231">
        <v>5</v>
      </c>
      <c r="X1231">
        <v>990.25</v>
      </c>
      <c r="Y1231" s="7">
        <v>88029</v>
      </c>
    </row>
    <row r="1232" spans="1:25" ht="12.75" customHeight="1">
      <c r="A1232">
        <v>23512</v>
      </c>
      <c r="B1232" t="s">
        <v>106</v>
      </c>
      <c r="C1232" s="4">
        <v>7.0000000000000007E-2</v>
      </c>
      <c r="D1232" s="8">
        <v>3.28</v>
      </c>
      <c r="E1232" s="4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 s="5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 s="7">
        <v>44646</v>
      </c>
      <c r="T1232" s="3">
        <v>42178</v>
      </c>
      <c r="U1232" s="3">
        <v>42178</v>
      </c>
      <c r="V1232" s="4">
        <v>-22.175999999999998</v>
      </c>
      <c r="W1232">
        <v>4</v>
      </c>
      <c r="X1232">
        <v>14.76</v>
      </c>
      <c r="Y1232" s="7">
        <v>90314</v>
      </c>
    </row>
    <row r="1233" spans="1:25" ht="12.75" customHeight="1">
      <c r="A1233">
        <v>23513</v>
      </c>
      <c r="B1233" t="s">
        <v>106</v>
      </c>
      <c r="C1233" s="4">
        <v>0.02</v>
      </c>
      <c r="D1233" s="8">
        <v>256.99</v>
      </c>
      <c r="E1233" s="4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 s="5">
        <v>0.51</v>
      </c>
      <c r="O1233" t="s">
        <v>33</v>
      </c>
      <c r="P1233" t="s">
        <v>53</v>
      </c>
      <c r="Q1233" t="s">
        <v>154</v>
      </c>
      <c r="R1233" t="s">
        <v>2118</v>
      </c>
      <c r="S1233" s="7">
        <v>44256</v>
      </c>
      <c r="T1233" s="3">
        <v>42178</v>
      </c>
      <c r="U1233" s="3">
        <v>42185</v>
      </c>
      <c r="V1233" s="4">
        <v>-214.10399999999998</v>
      </c>
      <c r="W1233">
        <v>3</v>
      </c>
      <c r="X1233">
        <v>808.44</v>
      </c>
      <c r="Y1233" s="7">
        <v>90314</v>
      </c>
    </row>
    <row r="1234" spans="1:25" ht="12.75" customHeight="1">
      <c r="A1234">
        <v>23514</v>
      </c>
      <c r="B1234" t="s">
        <v>106</v>
      </c>
      <c r="C1234" s="4">
        <v>0.01</v>
      </c>
      <c r="D1234" s="8">
        <v>6.48</v>
      </c>
      <c r="E1234" s="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 s="5">
        <v>0.37</v>
      </c>
      <c r="O1234" t="s">
        <v>33</v>
      </c>
      <c r="P1234" t="s">
        <v>53</v>
      </c>
      <c r="Q1234" t="s">
        <v>154</v>
      </c>
      <c r="R1234" t="s">
        <v>2118</v>
      </c>
      <c r="S1234" s="7">
        <v>44256</v>
      </c>
      <c r="T1234" s="3">
        <v>42178</v>
      </c>
      <c r="U1234" s="3">
        <v>42180</v>
      </c>
      <c r="V1234" s="4">
        <v>-26.936</v>
      </c>
      <c r="W1234">
        <v>10</v>
      </c>
      <c r="X1234">
        <v>67.41</v>
      </c>
      <c r="Y1234" s="7">
        <v>90314</v>
      </c>
    </row>
    <row r="1235" spans="1:25" ht="12.75" customHeight="1">
      <c r="A1235">
        <v>22712</v>
      </c>
      <c r="B1235" t="s">
        <v>106</v>
      </c>
      <c r="C1235" s="4">
        <v>0.09</v>
      </c>
      <c r="D1235" s="8">
        <v>14.2</v>
      </c>
      <c r="E1235" s="4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 s="5">
        <v>0.46</v>
      </c>
      <c r="O1235" t="s">
        <v>33</v>
      </c>
      <c r="P1235" t="s">
        <v>136</v>
      </c>
      <c r="Q1235" t="s">
        <v>362</v>
      </c>
      <c r="R1235" t="s">
        <v>2120</v>
      </c>
      <c r="S1235" s="7">
        <v>34787</v>
      </c>
      <c r="T1235" s="3">
        <v>42063</v>
      </c>
      <c r="U1235" s="3">
        <v>42064</v>
      </c>
      <c r="V1235" s="4">
        <v>-324.73</v>
      </c>
      <c r="W1235">
        <v>4</v>
      </c>
      <c r="X1235">
        <v>55.08</v>
      </c>
      <c r="Y1235" s="7">
        <v>91036</v>
      </c>
    </row>
    <row r="1236" spans="1:25" ht="12.75" customHeight="1">
      <c r="A1236">
        <v>24113</v>
      </c>
      <c r="B1236" t="s">
        <v>47</v>
      </c>
      <c r="C1236" s="4">
        <v>0</v>
      </c>
      <c r="D1236" s="8">
        <v>100.89</v>
      </c>
      <c r="E1236" s="4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 s="5">
        <v>0.61</v>
      </c>
      <c r="O1236" t="s">
        <v>33</v>
      </c>
      <c r="P1236" t="s">
        <v>34</v>
      </c>
      <c r="Q1236" t="s">
        <v>366</v>
      </c>
      <c r="R1236" t="s">
        <v>2123</v>
      </c>
      <c r="S1236" s="7">
        <v>88240</v>
      </c>
      <c r="T1236" s="3">
        <v>42056</v>
      </c>
      <c r="U1236" s="3">
        <v>42057</v>
      </c>
      <c r="V1236" s="4">
        <v>1500.12</v>
      </c>
      <c r="W1236">
        <v>15</v>
      </c>
      <c r="X1236">
        <v>1608.11</v>
      </c>
      <c r="Y1236" s="7">
        <v>89970</v>
      </c>
    </row>
    <row r="1237" spans="1:25" ht="12.75" customHeight="1">
      <c r="A1237">
        <v>18820</v>
      </c>
      <c r="B1237" t="s">
        <v>106</v>
      </c>
      <c r="C1237" s="4">
        <v>0.01</v>
      </c>
      <c r="D1237" s="8">
        <v>13.43</v>
      </c>
      <c r="E1237" s="4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 s="5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 s="7">
        <v>33801</v>
      </c>
      <c r="T1237" s="3">
        <v>42100</v>
      </c>
      <c r="U1237" s="3">
        <v>42107</v>
      </c>
      <c r="V1237" s="4">
        <v>-313.02180000000004</v>
      </c>
      <c r="W1237">
        <v>7</v>
      </c>
      <c r="X1237">
        <v>99.75</v>
      </c>
      <c r="Y1237" s="7">
        <v>89102</v>
      </c>
    </row>
    <row r="1238" spans="1:25" ht="12.75" customHeight="1">
      <c r="A1238">
        <v>24121</v>
      </c>
      <c r="B1238" t="s">
        <v>106</v>
      </c>
      <c r="C1238" s="4">
        <v>0</v>
      </c>
      <c r="D1238" s="8">
        <v>2.08</v>
      </c>
      <c r="E1238" s="4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 s="5">
        <v>0.43</v>
      </c>
      <c r="O1238" t="s">
        <v>33</v>
      </c>
      <c r="P1238" t="s">
        <v>53</v>
      </c>
      <c r="Q1238" t="s">
        <v>234</v>
      </c>
      <c r="R1238" t="s">
        <v>2127</v>
      </c>
      <c r="S1238" s="7">
        <v>16801</v>
      </c>
      <c r="T1238" s="3">
        <v>42107</v>
      </c>
      <c r="U1238" s="3">
        <v>42114</v>
      </c>
      <c r="V1238" s="4">
        <v>-192.5532</v>
      </c>
      <c r="W1238">
        <v>22</v>
      </c>
      <c r="X1238">
        <v>51.41</v>
      </c>
      <c r="Y1238" s="7">
        <v>86699</v>
      </c>
    </row>
    <row r="1239" spans="1:25" ht="12.75" customHeight="1">
      <c r="A1239">
        <v>25440</v>
      </c>
      <c r="B1239" t="s">
        <v>106</v>
      </c>
      <c r="C1239" s="4">
        <v>0.1</v>
      </c>
      <c r="D1239" s="8">
        <v>6.3</v>
      </c>
      <c r="E1239" s="4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 s="5">
        <v>0.39</v>
      </c>
      <c r="O1239" t="s">
        <v>33</v>
      </c>
      <c r="P1239" t="s">
        <v>136</v>
      </c>
      <c r="Q1239" t="s">
        <v>613</v>
      </c>
      <c r="R1239" t="s">
        <v>2129</v>
      </c>
      <c r="S1239" s="7">
        <v>42003</v>
      </c>
      <c r="T1239" s="3">
        <v>42031</v>
      </c>
      <c r="U1239" s="3">
        <v>42036</v>
      </c>
      <c r="V1239" s="4">
        <v>-464.28200000000004</v>
      </c>
      <c r="W1239">
        <v>12</v>
      </c>
      <c r="X1239">
        <v>68.72</v>
      </c>
      <c r="Y1239" s="7">
        <v>89278</v>
      </c>
    </row>
    <row r="1240" spans="1:25" ht="12.75" customHeight="1">
      <c r="A1240">
        <v>20639</v>
      </c>
      <c r="B1240" t="s">
        <v>25</v>
      </c>
      <c r="C1240" s="4">
        <v>0.1</v>
      </c>
      <c r="D1240" s="8">
        <v>48.91</v>
      </c>
      <c r="E1240" s="4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 s="5">
        <v>0.38</v>
      </c>
      <c r="O1240" t="s">
        <v>33</v>
      </c>
      <c r="P1240" t="s">
        <v>136</v>
      </c>
      <c r="Q1240" t="s">
        <v>613</v>
      </c>
      <c r="R1240" t="s">
        <v>2129</v>
      </c>
      <c r="S1240" s="7">
        <v>42003</v>
      </c>
      <c r="T1240" s="3">
        <v>42122</v>
      </c>
      <c r="U1240" s="3">
        <v>42124</v>
      </c>
      <c r="V1240" s="4">
        <v>156.74339999999998</v>
      </c>
      <c r="W1240">
        <v>14</v>
      </c>
      <c r="X1240">
        <v>618.96</v>
      </c>
      <c r="Y1240" s="7">
        <v>89279</v>
      </c>
    </row>
    <row r="1241" spans="1:25" ht="12.75" customHeight="1">
      <c r="A1241">
        <v>20640</v>
      </c>
      <c r="B1241" t="s">
        <v>25</v>
      </c>
      <c r="C1241" s="4">
        <v>0.08</v>
      </c>
      <c r="D1241" s="8">
        <v>5.98</v>
      </c>
      <c r="E1241" s="4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 s="5">
        <v>0.36</v>
      </c>
      <c r="O1241" t="s">
        <v>33</v>
      </c>
      <c r="P1241" t="s">
        <v>136</v>
      </c>
      <c r="Q1241" t="s">
        <v>613</v>
      </c>
      <c r="R1241" t="s">
        <v>2129</v>
      </c>
      <c r="S1241" s="7">
        <v>42003</v>
      </c>
      <c r="T1241" s="3">
        <v>42122</v>
      </c>
      <c r="U1241" s="3">
        <v>42122</v>
      </c>
      <c r="V1241" s="4">
        <v>110.11799999999999</v>
      </c>
      <c r="W1241">
        <v>13</v>
      </c>
      <c r="X1241">
        <v>77.540000000000006</v>
      </c>
      <c r="Y1241" s="7">
        <v>89279</v>
      </c>
    </row>
    <row r="1242" spans="1:25" ht="12.75" customHeight="1">
      <c r="A1242">
        <v>19054</v>
      </c>
      <c r="B1242" t="s">
        <v>47</v>
      </c>
      <c r="C1242" s="4">
        <v>7.0000000000000007E-2</v>
      </c>
      <c r="D1242" s="8">
        <v>60.97</v>
      </c>
      <c r="E1242" s="4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 s="5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 s="7">
        <v>28560</v>
      </c>
      <c r="T1242" s="3">
        <v>42006</v>
      </c>
      <c r="U1242" s="3">
        <v>42008</v>
      </c>
      <c r="V1242" s="4">
        <v>-42.588000000000001</v>
      </c>
      <c r="W1242">
        <v>6</v>
      </c>
      <c r="X1242">
        <v>361.72</v>
      </c>
      <c r="Y1242" s="7">
        <v>87963</v>
      </c>
    </row>
    <row r="1243" spans="1:25" ht="12.75" customHeight="1">
      <c r="A1243">
        <v>18652</v>
      </c>
      <c r="B1243" t="s">
        <v>56</v>
      </c>
      <c r="C1243" s="4">
        <v>7.0000000000000007E-2</v>
      </c>
      <c r="D1243" s="8">
        <v>70.98</v>
      </c>
      <c r="E1243" s="4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 s="5">
        <v>0.73</v>
      </c>
      <c r="O1243" t="s">
        <v>33</v>
      </c>
      <c r="P1243" t="s">
        <v>136</v>
      </c>
      <c r="Q1243" t="s">
        <v>322</v>
      </c>
      <c r="R1243" t="s">
        <v>2088</v>
      </c>
      <c r="S1243" s="7">
        <v>28560</v>
      </c>
      <c r="T1243" s="3">
        <v>42087</v>
      </c>
      <c r="U1243" s="3">
        <v>42089</v>
      </c>
      <c r="V1243" s="4">
        <v>-222.95</v>
      </c>
      <c r="W1243">
        <v>20</v>
      </c>
      <c r="X1243">
        <v>1373.47</v>
      </c>
      <c r="Y1243" s="7">
        <v>87964</v>
      </c>
    </row>
    <row r="1244" spans="1:25" ht="12.75" customHeight="1">
      <c r="A1244">
        <v>21937</v>
      </c>
      <c r="B1244" t="s">
        <v>25</v>
      </c>
      <c r="C1244" s="4">
        <v>0.06</v>
      </c>
      <c r="D1244" s="8">
        <v>6.68</v>
      </c>
      <c r="E1244" s="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 s="5">
        <v>0.37</v>
      </c>
      <c r="O1244" t="s">
        <v>33</v>
      </c>
      <c r="P1244" t="s">
        <v>136</v>
      </c>
      <c r="Q1244" t="s">
        <v>322</v>
      </c>
      <c r="R1244" t="s">
        <v>2136</v>
      </c>
      <c r="S1244" s="7">
        <v>27604</v>
      </c>
      <c r="T1244" s="3">
        <v>42167</v>
      </c>
      <c r="U1244" s="3">
        <v>42168</v>
      </c>
      <c r="V1244" s="4">
        <v>7.6244999999999994</v>
      </c>
      <c r="W1244">
        <v>14</v>
      </c>
      <c r="X1244">
        <v>91.92</v>
      </c>
      <c r="Y1244" s="7">
        <v>87965</v>
      </c>
    </row>
    <row r="1245" spans="1:25" ht="12.75" customHeight="1">
      <c r="A1245">
        <v>26361</v>
      </c>
      <c r="B1245" t="s">
        <v>106</v>
      </c>
      <c r="C1245" s="4">
        <v>0.01</v>
      </c>
      <c r="D1245" s="8">
        <v>7.64</v>
      </c>
      <c r="E1245" s="4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 s="5">
        <v>0.36</v>
      </c>
      <c r="O1245" t="s">
        <v>33</v>
      </c>
      <c r="P1245" t="s">
        <v>136</v>
      </c>
      <c r="Q1245" t="s">
        <v>322</v>
      </c>
      <c r="R1245" t="s">
        <v>2138</v>
      </c>
      <c r="S1245" s="7">
        <v>27801</v>
      </c>
      <c r="T1245" s="3">
        <v>42072</v>
      </c>
      <c r="U1245" s="3">
        <v>42076</v>
      </c>
      <c r="V1245" s="4">
        <v>-1676.6119999999999</v>
      </c>
      <c r="W1245">
        <v>9</v>
      </c>
      <c r="X1245">
        <v>73.290000000000006</v>
      </c>
      <c r="Y1245" s="7">
        <v>87962</v>
      </c>
    </row>
    <row r="1246" spans="1:25" ht="12.75" customHeight="1">
      <c r="A1246">
        <v>26362</v>
      </c>
      <c r="B1246" t="s">
        <v>106</v>
      </c>
      <c r="C1246" s="4">
        <v>7.0000000000000007E-2</v>
      </c>
      <c r="D1246" s="8">
        <v>400.97</v>
      </c>
      <c r="E1246" s="4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 s="5">
        <v>0.36</v>
      </c>
      <c r="O1246" t="s">
        <v>33</v>
      </c>
      <c r="P1246" t="s">
        <v>136</v>
      </c>
      <c r="Q1246" t="s">
        <v>322</v>
      </c>
      <c r="R1246" t="s">
        <v>2138</v>
      </c>
      <c r="S1246" s="7">
        <v>27801</v>
      </c>
      <c r="T1246" s="3">
        <v>42072</v>
      </c>
      <c r="U1246" s="3">
        <v>42076</v>
      </c>
      <c r="V1246" s="4">
        <v>45.127799999999993</v>
      </c>
      <c r="W1246">
        <v>8</v>
      </c>
      <c r="X1246">
        <v>2961.32</v>
      </c>
      <c r="Y1246" s="7">
        <v>87962</v>
      </c>
    </row>
    <row r="1247" spans="1:25" ht="12.75" customHeight="1">
      <c r="A1247">
        <v>20187</v>
      </c>
      <c r="B1247" t="s">
        <v>47</v>
      </c>
      <c r="C1247" s="4">
        <v>0.02</v>
      </c>
      <c r="D1247" s="8">
        <v>4.9800000000000004</v>
      </c>
      <c r="E1247" s="4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 s="5">
        <v>0.39</v>
      </c>
      <c r="O1247" t="s">
        <v>33</v>
      </c>
      <c r="P1247" t="s">
        <v>136</v>
      </c>
      <c r="Q1247" t="s">
        <v>387</v>
      </c>
      <c r="R1247" t="s">
        <v>2140</v>
      </c>
      <c r="S1247" s="7">
        <v>30161</v>
      </c>
      <c r="T1247" s="3">
        <v>42050</v>
      </c>
      <c r="U1247" s="3">
        <v>42051</v>
      </c>
      <c r="V1247" s="4">
        <v>-52.863999999999997</v>
      </c>
      <c r="W1247">
        <v>17</v>
      </c>
      <c r="X1247">
        <v>87.11</v>
      </c>
      <c r="Y1247" s="7">
        <v>89601</v>
      </c>
    </row>
    <row r="1248" spans="1:25" ht="12.75" customHeight="1">
      <c r="A1248">
        <v>20188</v>
      </c>
      <c r="B1248" t="s">
        <v>47</v>
      </c>
      <c r="C1248" s="4">
        <v>0.01</v>
      </c>
      <c r="D1248" s="8">
        <v>20.99</v>
      </c>
      <c r="E1248" s="4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 s="5">
        <v>0.83</v>
      </c>
      <c r="O1248" t="s">
        <v>33</v>
      </c>
      <c r="P1248" t="s">
        <v>136</v>
      </c>
      <c r="Q1248" t="s">
        <v>387</v>
      </c>
      <c r="R1248" t="s">
        <v>2140</v>
      </c>
      <c r="S1248" s="7">
        <v>30161</v>
      </c>
      <c r="T1248" s="3">
        <v>42050</v>
      </c>
      <c r="U1248" s="3">
        <v>42051</v>
      </c>
      <c r="V1248" s="4">
        <v>45.378</v>
      </c>
      <c r="W1248">
        <v>9</v>
      </c>
      <c r="X1248">
        <v>170.46</v>
      </c>
      <c r="Y1248" s="7">
        <v>89601</v>
      </c>
    </row>
    <row r="1249" spans="1:25" ht="12.75" customHeight="1">
      <c r="A1249">
        <v>19569</v>
      </c>
      <c r="B1249" t="s">
        <v>25</v>
      </c>
      <c r="C1249" s="4">
        <v>0.08</v>
      </c>
      <c r="D1249" s="8">
        <v>4.9800000000000004</v>
      </c>
      <c r="E1249" s="4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 s="5">
        <v>0.39</v>
      </c>
      <c r="O1249" t="s">
        <v>33</v>
      </c>
      <c r="P1249" t="s">
        <v>136</v>
      </c>
      <c r="Q1249" t="s">
        <v>387</v>
      </c>
      <c r="R1249" t="s">
        <v>2140</v>
      </c>
      <c r="S1249" s="7">
        <v>30161</v>
      </c>
      <c r="T1249" s="3">
        <v>42115</v>
      </c>
      <c r="U1249" s="3">
        <v>42116</v>
      </c>
      <c r="V1249" s="4">
        <v>4949.9160000000002</v>
      </c>
      <c r="W1249">
        <v>1</v>
      </c>
      <c r="X1249">
        <v>4.95</v>
      </c>
      <c r="Y1249" s="7">
        <v>89602</v>
      </c>
    </row>
    <row r="1250" spans="1:25" ht="12.75" customHeight="1">
      <c r="A1250">
        <v>19570</v>
      </c>
      <c r="B1250" t="s">
        <v>25</v>
      </c>
      <c r="C1250" s="4">
        <v>0.09</v>
      </c>
      <c r="D1250" s="8">
        <v>119.99</v>
      </c>
      <c r="E1250" s="4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 s="5">
        <v>0.36</v>
      </c>
      <c r="O1250" t="s">
        <v>33</v>
      </c>
      <c r="P1250" t="s">
        <v>136</v>
      </c>
      <c r="Q1250" t="s">
        <v>387</v>
      </c>
      <c r="R1250" t="s">
        <v>2140</v>
      </c>
      <c r="S1250" s="7">
        <v>30161</v>
      </c>
      <c r="T1250" s="3">
        <v>42115</v>
      </c>
      <c r="U1250" s="3">
        <v>42117</v>
      </c>
      <c r="V1250" s="4">
        <v>1055.6039999999998</v>
      </c>
      <c r="W1250">
        <v>4</v>
      </c>
      <c r="X1250">
        <v>461.24</v>
      </c>
      <c r="Y1250" s="7">
        <v>89602</v>
      </c>
    </row>
    <row r="1251" spans="1:25" ht="12.75" customHeight="1">
      <c r="A1251">
        <v>18142</v>
      </c>
      <c r="B1251" t="s">
        <v>37</v>
      </c>
      <c r="C1251" s="4">
        <v>0.09</v>
      </c>
      <c r="D1251" s="8">
        <v>207.48</v>
      </c>
      <c r="E1251" s="4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 s="5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 s="7">
        <v>64804</v>
      </c>
      <c r="T1251" s="3">
        <v>42030</v>
      </c>
      <c r="U1251" s="3">
        <v>42033</v>
      </c>
      <c r="V1251" s="4">
        <v>359.83</v>
      </c>
      <c r="W1251">
        <v>3</v>
      </c>
      <c r="X1251">
        <v>577.75</v>
      </c>
      <c r="Y1251" s="7">
        <v>86611</v>
      </c>
    </row>
    <row r="1252" spans="1:25" ht="12.75" customHeight="1">
      <c r="A1252">
        <v>19171</v>
      </c>
      <c r="B1252" t="s">
        <v>47</v>
      </c>
      <c r="C1252" s="4">
        <v>0.1</v>
      </c>
      <c r="D1252" s="8">
        <v>7.45</v>
      </c>
      <c r="E1252" s="4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 s="5">
        <v>0.4</v>
      </c>
      <c r="O1252" t="s">
        <v>33</v>
      </c>
      <c r="P1252" t="s">
        <v>61</v>
      </c>
      <c r="Q1252" t="s">
        <v>506</v>
      </c>
      <c r="R1252" t="s">
        <v>2147</v>
      </c>
      <c r="S1252" s="7">
        <v>64130</v>
      </c>
      <c r="T1252" s="3">
        <v>42033</v>
      </c>
      <c r="U1252" s="3">
        <v>42036</v>
      </c>
      <c r="V1252" s="4">
        <v>-69.873999999999995</v>
      </c>
      <c r="W1252">
        <v>8</v>
      </c>
      <c r="X1252">
        <v>59.4</v>
      </c>
      <c r="Y1252" s="7">
        <v>86612</v>
      </c>
    </row>
    <row r="1253" spans="1:25" ht="12.75" customHeight="1">
      <c r="A1253">
        <v>19172</v>
      </c>
      <c r="B1253" t="s">
        <v>47</v>
      </c>
      <c r="C1253" s="4">
        <v>0.01</v>
      </c>
      <c r="D1253" s="8">
        <v>6.48</v>
      </c>
      <c r="E1253" s="4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 s="5">
        <v>0.37</v>
      </c>
      <c r="O1253" t="s">
        <v>33</v>
      </c>
      <c r="P1253" t="s">
        <v>61</v>
      </c>
      <c r="Q1253" t="s">
        <v>506</v>
      </c>
      <c r="R1253" t="s">
        <v>2147</v>
      </c>
      <c r="S1253" s="7">
        <v>64130</v>
      </c>
      <c r="T1253" s="3">
        <v>42033</v>
      </c>
      <c r="U1253" s="3">
        <v>42035</v>
      </c>
      <c r="V1253" s="4">
        <v>-135.74</v>
      </c>
      <c r="W1253">
        <v>10</v>
      </c>
      <c r="X1253">
        <v>66.459999999999994</v>
      </c>
      <c r="Y1253" s="7">
        <v>86612</v>
      </c>
    </row>
    <row r="1254" spans="1:25" ht="12.75" customHeight="1">
      <c r="A1254">
        <v>25996</v>
      </c>
      <c r="B1254" t="s">
        <v>47</v>
      </c>
      <c r="C1254" s="4">
        <v>0.02</v>
      </c>
      <c r="D1254" s="8">
        <v>11.33</v>
      </c>
      <c r="E1254" s="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 s="5">
        <v>0.42</v>
      </c>
      <c r="O1254" t="s">
        <v>33</v>
      </c>
      <c r="P1254" t="s">
        <v>61</v>
      </c>
      <c r="Q1254" t="s">
        <v>506</v>
      </c>
      <c r="R1254" t="s">
        <v>2150</v>
      </c>
      <c r="S1254" s="7">
        <v>63122</v>
      </c>
      <c r="T1254" s="3">
        <v>42150</v>
      </c>
      <c r="U1254" s="3">
        <v>42152</v>
      </c>
      <c r="V1254" s="4">
        <v>-14.52</v>
      </c>
      <c r="W1254">
        <v>3</v>
      </c>
      <c r="X1254">
        <v>35.35</v>
      </c>
      <c r="Y1254" s="7">
        <v>86610</v>
      </c>
    </row>
    <row r="1255" spans="1:25" ht="12.75" customHeight="1">
      <c r="A1255">
        <v>25997</v>
      </c>
      <c r="B1255" t="s">
        <v>47</v>
      </c>
      <c r="C1255" s="4">
        <v>0.01</v>
      </c>
      <c r="D1255" s="8">
        <v>15.67</v>
      </c>
      <c r="E1255" s="4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 s="5">
        <v>0.38</v>
      </c>
      <c r="O1255" t="s">
        <v>33</v>
      </c>
      <c r="P1255" t="s">
        <v>61</v>
      </c>
      <c r="Q1255" t="s">
        <v>506</v>
      </c>
      <c r="R1255" t="s">
        <v>2150</v>
      </c>
      <c r="S1255" s="7">
        <v>63122</v>
      </c>
      <c r="T1255" s="3">
        <v>42150</v>
      </c>
      <c r="U1255" s="3">
        <v>42151</v>
      </c>
      <c r="V1255" s="4">
        <v>171.26489999999998</v>
      </c>
      <c r="W1255">
        <v>16</v>
      </c>
      <c r="X1255">
        <v>248.21</v>
      </c>
      <c r="Y1255" s="7">
        <v>86610</v>
      </c>
    </row>
    <row r="1256" spans="1:25" ht="12.75" customHeight="1">
      <c r="A1256">
        <v>19072</v>
      </c>
      <c r="B1256" t="s">
        <v>106</v>
      </c>
      <c r="C1256" s="4">
        <v>0.08</v>
      </c>
      <c r="D1256" s="8">
        <v>259.70999999999998</v>
      </c>
      <c r="E1256" s="4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 s="5">
        <v>0.61</v>
      </c>
      <c r="O1256" t="s">
        <v>33</v>
      </c>
      <c r="P1256" t="s">
        <v>136</v>
      </c>
      <c r="Q1256" t="s">
        <v>362</v>
      </c>
      <c r="R1256" t="s">
        <v>2152</v>
      </c>
      <c r="S1256" s="7">
        <v>34639</v>
      </c>
      <c r="T1256" s="3">
        <v>42158</v>
      </c>
      <c r="U1256" s="3">
        <v>42162</v>
      </c>
      <c r="V1256" s="4">
        <v>138.22199999999998</v>
      </c>
      <c r="W1256">
        <v>17</v>
      </c>
      <c r="X1256">
        <v>4086.5</v>
      </c>
      <c r="Y1256" s="7">
        <v>89571</v>
      </c>
    </row>
    <row r="1257" spans="1:25" ht="12.75" customHeight="1">
      <c r="A1257">
        <v>23963</v>
      </c>
      <c r="B1257" t="s">
        <v>106</v>
      </c>
      <c r="C1257" s="4">
        <v>0.01</v>
      </c>
      <c r="D1257" s="8">
        <v>20.48</v>
      </c>
      <c r="E1257" s="4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 s="5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 s="7">
        <v>29662</v>
      </c>
      <c r="T1257" s="3">
        <v>42041</v>
      </c>
      <c r="U1257" s="3">
        <v>42043</v>
      </c>
      <c r="V1257" s="4">
        <v>711.24479999999994</v>
      </c>
      <c r="W1257">
        <v>18</v>
      </c>
      <c r="X1257">
        <v>375.03</v>
      </c>
      <c r="Y1257" s="7">
        <v>89572</v>
      </c>
    </row>
    <row r="1258" spans="1:25" ht="12.75" customHeight="1">
      <c r="A1258">
        <v>23964</v>
      </c>
      <c r="B1258" t="s">
        <v>106</v>
      </c>
      <c r="C1258" s="4">
        <v>0.09</v>
      </c>
      <c r="D1258" s="8">
        <v>1.86</v>
      </c>
      <c r="E1258" s="4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 s="5">
        <v>0.82</v>
      </c>
      <c r="O1258" t="s">
        <v>33</v>
      </c>
      <c r="P1258" t="s">
        <v>136</v>
      </c>
      <c r="Q1258" t="s">
        <v>932</v>
      </c>
      <c r="R1258" t="s">
        <v>2154</v>
      </c>
      <c r="S1258" s="7">
        <v>29662</v>
      </c>
      <c r="T1258" s="3">
        <v>42041</v>
      </c>
      <c r="U1258" s="3">
        <v>42046</v>
      </c>
      <c r="V1258" s="4">
        <v>-1084.8469632000001</v>
      </c>
      <c r="W1258">
        <v>12</v>
      </c>
      <c r="X1258">
        <v>22.11</v>
      </c>
      <c r="Y1258" s="7">
        <v>89572</v>
      </c>
    </row>
    <row r="1259" spans="1:25" ht="12.75" customHeight="1">
      <c r="A1259">
        <v>23965</v>
      </c>
      <c r="B1259" t="s">
        <v>106</v>
      </c>
      <c r="C1259" s="4">
        <v>0.08</v>
      </c>
      <c r="D1259" s="8">
        <v>205.99</v>
      </c>
      <c r="E1259" s="4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 s="5">
        <v>0.59</v>
      </c>
      <c r="O1259" t="s">
        <v>33</v>
      </c>
      <c r="P1259" t="s">
        <v>136</v>
      </c>
      <c r="Q1259" t="s">
        <v>932</v>
      </c>
      <c r="R1259" t="s">
        <v>2154</v>
      </c>
      <c r="S1259" s="7">
        <v>29662</v>
      </c>
      <c r="T1259" s="3">
        <v>42041</v>
      </c>
      <c r="U1259" s="3">
        <v>42046</v>
      </c>
      <c r="V1259" s="4">
        <v>-156.77199999999999</v>
      </c>
      <c r="W1259">
        <v>17</v>
      </c>
      <c r="X1259">
        <v>2875.35</v>
      </c>
      <c r="Y1259" s="7">
        <v>89572</v>
      </c>
    </row>
    <row r="1260" spans="1:25" ht="12.75" customHeight="1">
      <c r="A1260">
        <v>19438</v>
      </c>
      <c r="B1260" t="s">
        <v>25</v>
      </c>
      <c r="C1260" s="4">
        <v>0.08</v>
      </c>
      <c r="D1260" s="8">
        <v>15.73</v>
      </c>
      <c r="E1260" s="4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 s="5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 s="7">
        <v>76543</v>
      </c>
      <c r="T1260" s="3">
        <v>42079</v>
      </c>
      <c r="U1260" s="3">
        <v>42081</v>
      </c>
      <c r="V1260" s="4">
        <v>-37.6</v>
      </c>
      <c r="W1260">
        <v>5</v>
      </c>
      <c r="X1260">
        <v>78.08</v>
      </c>
      <c r="Y1260" s="7">
        <v>90110</v>
      </c>
    </row>
    <row r="1261" spans="1:25" ht="12.75" customHeight="1">
      <c r="A1261">
        <v>23416</v>
      </c>
      <c r="B1261" t="s">
        <v>106</v>
      </c>
      <c r="C1261" s="4">
        <v>0.04</v>
      </c>
      <c r="D1261" s="8">
        <v>120.98</v>
      </c>
      <c r="E1261" s="4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 s="5">
        <v>0.6</v>
      </c>
      <c r="O1261" t="s">
        <v>33</v>
      </c>
      <c r="P1261" t="s">
        <v>61</v>
      </c>
      <c r="Q1261" t="s">
        <v>130</v>
      </c>
      <c r="R1261" t="s">
        <v>2161</v>
      </c>
      <c r="S1261" s="7">
        <v>78550</v>
      </c>
      <c r="T1261" s="3">
        <v>42129</v>
      </c>
      <c r="U1261" s="3">
        <v>42129</v>
      </c>
      <c r="V1261" s="4">
        <v>1389.5771999999999</v>
      </c>
      <c r="W1261">
        <v>17</v>
      </c>
      <c r="X1261">
        <v>2013.88</v>
      </c>
      <c r="Y1261" s="7">
        <v>90109</v>
      </c>
    </row>
    <row r="1262" spans="1:25" ht="12.75" customHeight="1">
      <c r="A1262">
        <v>23417</v>
      </c>
      <c r="B1262" t="s">
        <v>106</v>
      </c>
      <c r="C1262" s="4">
        <v>0.02</v>
      </c>
      <c r="D1262" s="8">
        <v>55.99</v>
      </c>
      <c r="E1262" s="4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 s="5">
        <v>0.83</v>
      </c>
      <c r="O1262" t="s">
        <v>33</v>
      </c>
      <c r="P1262" t="s">
        <v>61</v>
      </c>
      <c r="Q1262" t="s">
        <v>130</v>
      </c>
      <c r="R1262" t="s">
        <v>2161</v>
      </c>
      <c r="S1262" s="7">
        <v>78550</v>
      </c>
      <c r="T1262" s="3">
        <v>42129</v>
      </c>
      <c r="U1262" s="3">
        <v>42129</v>
      </c>
      <c r="V1262" s="4">
        <v>-222.816</v>
      </c>
      <c r="W1262">
        <v>4</v>
      </c>
      <c r="X1262">
        <v>201.32</v>
      </c>
      <c r="Y1262" s="7">
        <v>90109</v>
      </c>
    </row>
    <row r="1263" spans="1:25" ht="12.75" customHeight="1">
      <c r="A1263">
        <v>23418</v>
      </c>
      <c r="B1263" t="s">
        <v>106</v>
      </c>
      <c r="C1263" s="4">
        <v>0.05</v>
      </c>
      <c r="D1263" s="8">
        <v>23.99</v>
      </c>
      <c r="E1263" s="4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 s="5">
        <v>0.62</v>
      </c>
      <c r="O1263" t="s">
        <v>33</v>
      </c>
      <c r="P1263" t="s">
        <v>61</v>
      </c>
      <c r="Q1263" t="s">
        <v>130</v>
      </c>
      <c r="R1263" t="s">
        <v>2164</v>
      </c>
      <c r="S1263" s="7">
        <v>77036</v>
      </c>
      <c r="T1263" s="3">
        <v>42129</v>
      </c>
      <c r="U1263" s="3">
        <v>42133</v>
      </c>
      <c r="V1263" s="4">
        <v>-133.71</v>
      </c>
      <c r="W1263">
        <v>12</v>
      </c>
      <c r="X1263">
        <v>298.51</v>
      </c>
      <c r="Y1263" s="7">
        <v>90109</v>
      </c>
    </row>
    <row r="1264" spans="1:25" ht="12.75" customHeight="1">
      <c r="A1264">
        <v>24552</v>
      </c>
      <c r="B1264" t="s">
        <v>37</v>
      </c>
      <c r="C1264" s="4">
        <v>0.01</v>
      </c>
      <c r="D1264" s="8">
        <v>195.99</v>
      </c>
      <c r="E1264" s="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 s="5">
        <v>0.6</v>
      </c>
      <c r="O1264" t="s">
        <v>33</v>
      </c>
      <c r="P1264" t="s">
        <v>53</v>
      </c>
      <c r="Q1264" t="s">
        <v>71</v>
      </c>
      <c r="R1264" t="s">
        <v>2166</v>
      </c>
      <c r="S1264" s="7">
        <v>14304</v>
      </c>
      <c r="T1264" s="3">
        <v>42185</v>
      </c>
      <c r="U1264" s="3">
        <v>42185</v>
      </c>
      <c r="V1264" s="4">
        <v>2653.7813999999998</v>
      </c>
      <c r="W1264">
        <v>22</v>
      </c>
      <c r="X1264">
        <v>3846.06</v>
      </c>
      <c r="Y1264" s="7">
        <v>91502</v>
      </c>
    </row>
    <row r="1265" spans="1:25" ht="12.75" customHeight="1">
      <c r="A1265">
        <v>23572</v>
      </c>
      <c r="B1265" t="s">
        <v>106</v>
      </c>
      <c r="C1265" s="4">
        <v>0.04</v>
      </c>
      <c r="D1265" s="8">
        <v>4.4800000000000004</v>
      </c>
      <c r="E1265" s="4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 s="5">
        <v>0.37</v>
      </c>
      <c r="O1265" t="s">
        <v>33</v>
      </c>
      <c r="P1265" t="s">
        <v>53</v>
      </c>
      <c r="Q1265" t="s">
        <v>234</v>
      </c>
      <c r="R1265" t="s">
        <v>2168</v>
      </c>
      <c r="S1265" s="7">
        <v>15601</v>
      </c>
      <c r="T1265" s="3">
        <v>42177</v>
      </c>
      <c r="U1265" s="3">
        <v>42181</v>
      </c>
      <c r="V1265" s="4">
        <v>10.32</v>
      </c>
      <c r="W1265">
        <v>7</v>
      </c>
      <c r="X1265">
        <v>35.93</v>
      </c>
      <c r="Y1265" s="7">
        <v>85949</v>
      </c>
    </row>
    <row r="1266" spans="1:25" ht="12.75" customHeight="1">
      <c r="A1266">
        <v>19615</v>
      </c>
      <c r="B1266" t="s">
        <v>37</v>
      </c>
      <c r="C1266" s="4">
        <v>0.08</v>
      </c>
      <c r="D1266" s="8">
        <v>205.99</v>
      </c>
      <c r="E1266" s="4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 s="5">
        <v>0.59</v>
      </c>
      <c r="O1266" t="s">
        <v>33</v>
      </c>
      <c r="P1266" t="s">
        <v>61</v>
      </c>
      <c r="Q1266" t="s">
        <v>1858</v>
      </c>
      <c r="R1266" t="s">
        <v>2170</v>
      </c>
      <c r="S1266" s="7">
        <v>54703</v>
      </c>
      <c r="T1266" s="3">
        <v>42031</v>
      </c>
      <c r="U1266" s="3">
        <v>42032</v>
      </c>
      <c r="V1266" s="4">
        <v>997.38144000000011</v>
      </c>
      <c r="W1266">
        <v>10</v>
      </c>
      <c r="X1266">
        <v>1610.84</v>
      </c>
      <c r="Y1266" s="7">
        <v>85948</v>
      </c>
    </row>
    <row r="1267" spans="1:25" ht="12.75" customHeight="1">
      <c r="A1267">
        <v>21260</v>
      </c>
      <c r="B1267" t="s">
        <v>56</v>
      </c>
      <c r="C1267" s="4">
        <v>0.04</v>
      </c>
      <c r="D1267" s="8">
        <v>5.98</v>
      </c>
      <c r="E1267" s="4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 s="5">
        <v>0.36</v>
      </c>
      <c r="O1267" t="s">
        <v>33</v>
      </c>
      <c r="P1267" t="s">
        <v>61</v>
      </c>
      <c r="Q1267" t="s">
        <v>1858</v>
      </c>
      <c r="R1267" t="s">
        <v>2172</v>
      </c>
      <c r="S1267" s="7">
        <v>53713</v>
      </c>
      <c r="T1267" s="3">
        <v>42040</v>
      </c>
      <c r="U1267" s="3">
        <v>42042</v>
      </c>
      <c r="V1267" s="4">
        <v>-36.030800000000006</v>
      </c>
      <c r="W1267">
        <v>14</v>
      </c>
      <c r="X1267">
        <v>86.12</v>
      </c>
      <c r="Y1267" s="7">
        <v>85950</v>
      </c>
    </row>
    <row r="1268" spans="1:25" ht="12.75" customHeight="1">
      <c r="A1268">
        <v>26148</v>
      </c>
      <c r="B1268" t="s">
        <v>56</v>
      </c>
      <c r="C1268" s="4">
        <v>0.01</v>
      </c>
      <c r="D1268" s="8">
        <v>11.7</v>
      </c>
      <c r="E1268" s="4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 s="5">
        <v>0.5</v>
      </c>
      <c r="O1268" t="s">
        <v>33</v>
      </c>
      <c r="P1268" t="s">
        <v>61</v>
      </c>
      <c r="Q1268" t="s">
        <v>1858</v>
      </c>
      <c r="R1268" t="s">
        <v>2174</v>
      </c>
      <c r="S1268" s="7">
        <v>53132</v>
      </c>
      <c r="T1268" s="3">
        <v>42028</v>
      </c>
      <c r="U1268" s="3">
        <v>42030</v>
      </c>
      <c r="V1268" s="4">
        <v>-28.954000000000001</v>
      </c>
      <c r="W1268">
        <v>6</v>
      </c>
      <c r="X1268">
        <v>76.87</v>
      </c>
      <c r="Y1268" s="7">
        <v>85947</v>
      </c>
    </row>
    <row r="1269" spans="1:25" ht="12.75" customHeight="1">
      <c r="A1269">
        <v>19460</v>
      </c>
      <c r="B1269" t="s">
        <v>56</v>
      </c>
      <c r="C1269" s="4">
        <v>0.02</v>
      </c>
      <c r="D1269" s="8">
        <v>17.7</v>
      </c>
      <c r="E1269" s="4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 s="5">
        <v>0.59</v>
      </c>
      <c r="O1269" t="s">
        <v>33</v>
      </c>
      <c r="P1269" t="s">
        <v>136</v>
      </c>
      <c r="Q1269" t="s">
        <v>932</v>
      </c>
      <c r="R1269" t="s">
        <v>2176</v>
      </c>
      <c r="S1269" s="7">
        <v>29730</v>
      </c>
      <c r="T1269" s="3">
        <v>42076</v>
      </c>
      <c r="U1269" s="3">
        <v>42078</v>
      </c>
      <c r="V1269" s="4">
        <v>-85.021999999999991</v>
      </c>
      <c r="W1269">
        <v>21</v>
      </c>
      <c r="X1269">
        <v>374.6</v>
      </c>
      <c r="Y1269" s="7">
        <v>90148</v>
      </c>
    </row>
    <row r="1270" spans="1:25" ht="12.75" customHeight="1">
      <c r="A1270">
        <v>21529</v>
      </c>
      <c r="B1270" t="s">
        <v>56</v>
      </c>
      <c r="C1270" s="4">
        <v>0</v>
      </c>
      <c r="D1270" s="8">
        <v>4.91</v>
      </c>
      <c r="E1270" s="4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 s="5">
        <v>0.36</v>
      </c>
      <c r="O1270" t="s">
        <v>33</v>
      </c>
      <c r="P1270" t="s">
        <v>136</v>
      </c>
      <c r="Q1270" t="s">
        <v>932</v>
      </c>
      <c r="R1270" t="s">
        <v>2178</v>
      </c>
      <c r="S1270" s="7">
        <v>29301</v>
      </c>
      <c r="T1270" s="3">
        <v>42039</v>
      </c>
      <c r="U1270" s="3">
        <v>42041</v>
      </c>
      <c r="V1270" s="4">
        <v>99.198000000000008</v>
      </c>
      <c r="W1270">
        <v>12</v>
      </c>
      <c r="X1270">
        <v>61.87</v>
      </c>
      <c r="Y1270" s="7">
        <v>90145</v>
      </c>
    </row>
    <row r="1271" spans="1:25" ht="12.75" customHeight="1">
      <c r="A1271">
        <v>21530</v>
      </c>
      <c r="B1271" t="s">
        <v>56</v>
      </c>
      <c r="C1271" s="4">
        <v>0.01</v>
      </c>
      <c r="D1271" s="8">
        <v>7.28</v>
      </c>
      <c r="E1271" s="4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 s="5">
        <v>0.37</v>
      </c>
      <c r="O1271" t="s">
        <v>33</v>
      </c>
      <c r="P1271" t="s">
        <v>136</v>
      </c>
      <c r="Q1271" t="s">
        <v>932</v>
      </c>
      <c r="R1271" t="s">
        <v>2178</v>
      </c>
      <c r="S1271" s="7">
        <v>29301</v>
      </c>
      <c r="T1271" s="3">
        <v>42039</v>
      </c>
      <c r="U1271" s="3">
        <v>42040</v>
      </c>
      <c r="V1271" s="4">
        <v>136.03139999999999</v>
      </c>
      <c r="W1271">
        <v>6</v>
      </c>
      <c r="X1271">
        <v>48.88</v>
      </c>
      <c r="Y1271" s="7">
        <v>90145</v>
      </c>
    </row>
    <row r="1272" spans="1:25" ht="12.75" customHeight="1">
      <c r="A1272">
        <v>21531</v>
      </c>
      <c r="B1272" t="s">
        <v>56</v>
      </c>
      <c r="C1272" s="4">
        <v>0.1</v>
      </c>
      <c r="D1272" s="8">
        <v>6.68</v>
      </c>
      <c r="E1272" s="4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 s="5">
        <v>0.37</v>
      </c>
      <c r="O1272" t="s">
        <v>33</v>
      </c>
      <c r="P1272" t="s">
        <v>136</v>
      </c>
      <c r="Q1272" t="s">
        <v>932</v>
      </c>
      <c r="R1272" t="s">
        <v>2178</v>
      </c>
      <c r="S1272" s="7">
        <v>29301</v>
      </c>
      <c r="T1272" s="3">
        <v>42039</v>
      </c>
      <c r="U1272" s="3">
        <v>42042</v>
      </c>
      <c r="V1272" s="4">
        <v>-100.072</v>
      </c>
      <c r="W1272">
        <v>3</v>
      </c>
      <c r="X1272">
        <v>21.56</v>
      </c>
      <c r="Y1272" s="7">
        <v>90145</v>
      </c>
    </row>
    <row r="1273" spans="1:25" ht="12.75" customHeight="1">
      <c r="A1273">
        <v>25183</v>
      </c>
      <c r="B1273" t="s">
        <v>37</v>
      </c>
      <c r="C1273" s="4">
        <v>0.01</v>
      </c>
      <c r="D1273" s="8">
        <v>18.97</v>
      </c>
      <c r="E1273" s="4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 s="5">
        <v>0.37</v>
      </c>
      <c r="O1273" t="s">
        <v>33</v>
      </c>
      <c r="P1273" t="s">
        <v>136</v>
      </c>
      <c r="Q1273" t="s">
        <v>932</v>
      </c>
      <c r="R1273" t="s">
        <v>2180</v>
      </c>
      <c r="S1273" s="7">
        <v>29483</v>
      </c>
      <c r="T1273" s="3">
        <v>42088</v>
      </c>
      <c r="U1273" s="3">
        <v>42088</v>
      </c>
      <c r="V1273" s="4">
        <v>-12.026699999999998</v>
      </c>
      <c r="W1273">
        <v>8</v>
      </c>
      <c r="X1273">
        <v>164.67</v>
      </c>
      <c r="Y1273" s="7">
        <v>90146</v>
      </c>
    </row>
    <row r="1274" spans="1:25" ht="12.75" customHeight="1">
      <c r="A1274">
        <v>25184</v>
      </c>
      <c r="B1274" t="s">
        <v>37</v>
      </c>
      <c r="C1274" s="4">
        <v>0.03</v>
      </c>
      <c r="D1274" s="8">
        <v>12.28</v>
      </c>
      <c r="E1274" s="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 s="5">
        <v>0.38</v>
      </c>
      <c r="O1274" t="s">
        <v>33</v>
      </c>
      <c r="P1274" t="s">
        <v>136</v>
      </c>
      <c r="Q1274" t="s">
        <v>932</v>
      </c>
      <c r="R1274" t="s">
        <v>2180</v>
      </c>
      <c r="S1274" s="7">
        <v>29483</v>
      </c>
      <c r="T1274" s="3">
        <v>42088</v>
      </c>
      <c r="U1274" s="3">
        <v>42089</v>
      </c>
      <c r="V1274" s="4">
        <v>122.508</v>
      </c>
      <c r="W1274">
        <v>6</v>
      </c>
      <c r="X1274">
        <v>72.739999999999995</v>
      </c>
      <c r="Y1274" s="7">
        <v>90146</v>
      </c>
    </row>
    <row r="1275" spans="1:25" ht="12.75" customHeight="1">
      <c r="A1275">
        <v>25185</v>
      </c>
      <c r="B1275" t="s">
        <v>37</v>
      </c>
      <c r="C1275" s="4">
        <v>0.05</v>
      </c>
      <c r="D1275" s="8">
        <v>34.99</v>
      </c>
      <c r="E1275" s="4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 s="5">
        <v>0.59</v>
      </c>
      <c r="O1275" t="s">
        <v>33</v>
      </c>
      <c r="P1275" t="s">
        <v>136</v>
      </c>
      <c r="Q1275" t="s">
        <v>932</v>
      </c>
      <c r="R1275" t="s">
        <v>2180</v>
      </c>
      <c r="S1275" s="7">
        <v>29483</v>
      </c>
      <c r="T1275" s="3">
        <v>42088</v>
      </c>
      <c r="U1275" s="3">
        <v>42090</v>
      </c>
      <c r="V1275" s="4">
        <v>-12.026699999999998</v>
      </c>
      <c r="W1275">
        <v>12</v>
      </c>
      <c r="X1275">
        <v>418.75</v>
      </c>
      <c r="Y1275" s="7">
        <v>90146</v>
      </c>
    </row>
    <row r="1276" spans="1:25" ht="12.75" customHeight="1">
      <c r="A1276">
        <v>24396</v>
      </c>
      <c r="B1276" t="s">
        <v>106</v>
      </c>
      <c r="C1276" s="4">
        <v>0.1</v>
      </c>
      <c r="D1276" s="8">
        <v>54.1</v>
      </c>
      <c r="E1276" s="4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 s="5">
        <v>0.59</v>
      </c>
      <c r="O1276" t="s">
        <v>33</v>
      </c>
      <c r="P1276" t="s">
        <v>136</v>
      </c>
      <c r="Q1276" t="s">
        <v>932</v>
      </c>
      <c r="R1276" t="s">
        <v>2180</v>
      </c>
      <c r="S1276" s="7">
        <v>29483</v>
      </c>
      <c r="T1276" s="3">
        <v>42054</v>
      </c>
      <c r="U1276" s="3">
        <v>42059</v>
      </c>
      <c r="V1276" s="4">
        <v>34.067999999999998</v>
      </c>
      <c r="W1276">
        <v>9</v>
      </c>
      <c r="X1276">
        <v>469.59</v>
      </c>
      <c r="Y1276" s="7">
        <v>90147</v>
      </c>
    </row>
    <row r="1277" spans="1:25" ht="12.75" customHeight="1">
      <c r="A1277">
        <v>19243</v>
      </c>
      <c r="B1277" t="s">
        <v>47</v>
      </c>
      <c r="C1277" s="4">
        <v>0.01</v>
      </c>
      <c r="D1277" s="8">
        <v>7.59</v>
      </c>
      <c r="E1277" s="4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 s="5">
        <v>0.42</v>
      </c>
      <c r="O1277" t="s">
        <v>33</v>
      </c>
      <c r="P1277" t="s">
        <v>61</v>
      </c>
      <c r="Q1277" t="s">
        <v>62</v>
      </c>
      <c r="R1277" t="s">
        <v>2104</v>
      </c>
      <c r="S1277" s="7">
        <v>55337</v>
      </c>
      <c r="T1277" s="3">
        <v>42128</v>
      </c>
      <c r="U1277" s="3">
        <v>42128</v>
      </c>
      <c r="V1277" s="4">
        <v>2.9700000000000006</v>
      </c>
      <c r="W1277">
        <v>17</v>
      </c>
      <c r="X1277">
        <v>136.25</v>
      </c>
      <c r="Y1277" s="7">
        <v>88165</v>
      </c>
    </row>
    <row r="1278" spans="1:25" ht="12.75" customHeight="1">
      <c r="A1278">
        <v>21334</v>
      </c>
      <c r="B1278" t="s">
        <v>37</v>
      </c>
      <c r="C1278" s="4">
        <v>0</v>
      </c>
      <c r="D1278" s="8">
        <v>42.98</v>
      </c>
      <c r="E1278" s="4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 s="5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 s="7">
        <v>55433</v>
      </c>
      <c r="T1278" s="3">
        <v>42010</v>
      </c>
      <c r="U1278" s="3">
        <v>42012</v>
      </c>
      <c r="V1278" s="4">
        <v>385.30289999999997</v>
      </c>
      <c r="W1278">
        <v>12</v>
      </c>
      <c r="X1278">
        <v>558.41</v>
      </c>
      <c r="Y1278" s="7">
        <v>88163</v>
      </c>
    </row>
    <row r="1279" spans="1:25" ht="12.75" customHeight="1">
      <c r="A1279">
        <v>21335</v>
      </c>
      <c r="B1279" t="s">
        <v>37</v>
      </c>
      <c r="C1279" s="4">
        <v>0.03</v>
      </c>
      <c r="D1279" s="8">
        <v>21.78</v>
      </c>
      <c r="E1279" s="4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 s="5">
        <v>0.5</v>
      </c>
      <c r="O1279" t="s">
        <v>33</v>
      </c>
      <c r="P1279" t="s">
        <v>61</v>
      </c>
      <c r="Q1279" t="s">
        <v>62</v>
      </c>
      <c r="R1279" t="s">
        <v>2184</v>
      </c>
      <c r="S1279" s="7">
        <v>55433</v>
      </c>
      <c r="T1279" s="3">
        <v>42010</v>
      </c>
      <c r="U1279" s="3">
        <v>42012</v>
      </c>
      <c r="V1279" s="4">
        <v>187.2</v>
      </c>
      <c r="W1279">
        <v>13</v>
      </c>
      <c r="X1279">
        <v>290.22000000000003</v>
      </c>
      <c r="Y1279" s="7">
        <v>88163</v>
      </c>
    </row>
    <row r="1280" spans="1:25" ht="12.75" customHeight="1">
      <c r="A1280">
        <v>19723</v>
      </c>
      <c r="B1280" t="s">
        <v>56</v>
      </c>
      <c r="C1280" s="4">
        <v>7.0000000000000007E-2</v>
      </c>
      <c r="D1280" s="8">
        <v>80.98</v>
      </c>
      <c r="E1280" s="4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 s="5">
        <v>0.48</v>
      </c>
      <c r="O1280" t="s">
        <v>33</v>
      </c>
      <c r="P1280" t="s">
        <v>61</v>
      </c>
      <c r="Q1280" t="s">
        <v>62</v>
      </c>
      <c r="R1280" t="s">
        <v>2184</v>
      </c>
      <c r="S1280" s="7">
        <v>55433</v>
      </c>
      <c r="T1280" s="3">
        <v>42039</v>
      </c>
      <c r="U1280" s="3">
        <v>42041</v>
      </c>
      <c r="V1280" s="4">
        <v>779.47230000000002</v>
      </c>
      <c r="W1280">
        <v>15</v>
      </c>
      <c r="X1280">
        <v>1129.67</v>
      </c>
      <c r="Y1280" s="7">
        <v>88164</v>
      </c>
    </row>
    <row r="1281" spans="1:25" ht="12.75" customHeight="1">
      <c r="A1281">
        <v>24673</v>
      </c>
      <c r="B1281" t="s">
        <v>47</v>
      </c>
      <c r="C1281" s="4">
        <v>7.0000000000000007E-2</v>
      </c>
      <c r="D1281" s="8">
        <v>270.98</v>
      </c>
      <c r="E1281" s="4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 s="5">
        <v>0.77</v>
      </c>
      <c r="O1281" t="s">
        <v>33</v>
      </c>
      <c r="P1281" t="s">
        <v>136</v>
      </c>
      <c r="Q1281" t="s">
        <v>362</v>
      </c>
      <c r="R1281" t="s">
        <v>2189</v>
      </c>
      <c r="S1281" s="7">
        <v>32404</v>
      </c>
      <c r="T1281" s="3">
        <v>42046</v>
      </c>
      <c r="U1281" s="3">
        <v>42048</v>
      </c>
      <c r="V1281" s="4">
        <v>27.725999999999999</v>
      </c>
      <c r="W1281">
        <v>9</v>
      </c>
      <c r="X1281">
        <v>2439.37</v>
      </c>
      <c r="Y1281" s="7">
        <v>87695</v>
      </c>
    </row>
    <row r="1282" spans="1:25" ht="12.75" customHeight="1">
      <c r="A1282">
        <v>23344</v>
      </c>
      <c r="B1282" t="s">
        <v>25</v>
      </c>
      <c r="C1282" s="4">
        <v>0.1</v>
      </c>
      <c r="D1282" s="8">
        <v>12.53</v>
      </c>
      <c r="E1282" s="4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 s="5">
        <v>0.38</v>
      </c>
      <c r="O1282" t="s">
        <v>33</v>
      </c>
      <c r="P1282" t="s">
        <v>136</v>
      </c>
      <c r="Q1282" t="s">
        <v>362</v>
      </c>
      <c r="R1282" t="s">
        <v>2189</v>
      </c>
      <c r="S1282" s="7">
        <v>32404</v>
      </c>
      <c r="T1282" s="3">
        <v>42007</v>
      </c>
      <c r="U1282" s="3">
        <v>42008</v>
      </c>
      <c r="V1282" s="4">
        <v>244.464</v>
      </c>
      <c r="W1282">
        <v>8</v>
      </c>
      <c r="X1282">
        <v>92.02</v>
      </c>
      <c r="Y1282" s="7">
        <v>87696</v>
      </c>
    </row>
    <row r="1283" spans="1:25" ht="12.75" customHeight="1">
      <c r="A1283">
        <v>23345</v>
      </c>
      <c r="B1283" t="s">
        <v>25</v>
      </c>
      <c r="C1283" s="4">
        <v>0.1</v>
      </c>
      <c r="D1283" s="8">
        <v>146.34</v>
      </c>
      <c r="E1283" s="4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 s="5">
        <v>0.64</v>
      </c>
      <c r="O1283" t="s">
        <v>33</v>
      </c>
      <c r="P1283" t="s">
        <v>136</v>
      </c>
      <c r="Q1283" t="s">
        <v>362</v>
      </c>
      <c r="R1283" t="s">
        <v>2189</v>
      </c>
      <c r="S1283" s="7">
        <v>32404</v>
      </c>
      <c r="T1283" s="3">
        <v>42007</v>
      </c>
      <c r="U1283" s="3">
        <v>42008</v>
      </c>
      <c r="V1283" s="4">
        <v>-473.57799999999997</v>
      </c>
      <c r="W1283">
        <v>2</v>
      </c>
      <c r="X1283">
        <v>283.55</v>
      </c>
      <c r="Y1283" s="7">
        <v>87696</v>
      </c>
    </row>
    <row r="1284" spans="1:25" ht="12.75" customHeight="1">
      <c r="A1284">
        <v>6673</v>
      </c>
      <c r="B1284" t="s">
        <v>47</v>
      </c>
      <c r="C1284" s="4">
        <v>7.0000000000000007E-2</v>
      </c>
      <c r="D1284" s="8">
        <v>270.98</v>
      </c>
      <c r="E1284" s="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 s="5">
        <v>0.77</v>
      </c>
      <c r="O1284" t="s">
        <v>33</v>
      </c>
      <c r="P1284" t="s">
        <v>53</v>
      </c>
      <c r="Q1284" t="s">
        <v>71</v>
      </c>
      <c r="R1284" t="s">
        <v>90</v>
      </c>
      <c r="S1284" s="7">
        <v>10011</v>
      </c>
      <c r="T1284" s="3">
        <v>42046</v>
      </c>
      <c r="U1284" s="3">
        <v>42048</v>
      </c>
      <c r="V1284" s="4">
        <v>-96.05</v>
      </c>
      <c r="W1284">
        <v>36</v>
      </c>
      <c r="X1284">
        <v>9757.48</v>
      </c>
      <c r="Y1284" s="7">
        <v>47493</v>
      </c>
    </row>
    <row r="1285" spans="1:25" ht="12.75" customHeight="1">
      <c r="A1285">
        <v>5345</v>
      </c>
      <c r="B1285" t="s">
        <v>25</v>
      </c>
      <c r="C1285" s="4">
        <v>0.1</v>
      </c>
      <c r="D1285" s="8">
        <v>146.34</v>
      </c>
      <c r="E1285" s="4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 s="5">
        <v>0.64</v>
      </c>
      <c r="O1285" t="s">
        <v>33</v>
      </c>
      <c r="P1285" t="s">
        <v>53</v>
      </c>
      <c r="Q1285" t="s">
        <v>71</v>
      </c>
      <c r="R1285" t="s">
        <v>90</v>
      </c>
      <c r="S1285" s="7">
        <v>10011</v>
      </c>
      <c r="T1285" s="3">
        <v>42007</v>
      </c>
      <c r="U1285" s="3">
        <v>42008</v>
      </c>
      <c r="V1285" s="4">
        <v>-270.85000000000002</v>
      </c>
      <c r="W1285">
        <v>6</v>
      </c>
      <c r="X1285">
        <v>850.64</v>
      </c>
      <c r="Y1285" s="7">
        <v>37987</v>
      </c>
    </row>
    <row r="1286" spans="1:25" ht="12.75" customHeight="1">
      <c r="A1286">
        <v>19934</v>
      </c>
      <c r="B1286" t="s">
        <v>25</v>
      </c>
      <c r="C1286" s="4">
        <v>0</v>
      </c>
      <c r="D1286" s="8">
        <v>90.48</v>
      </c>
      <c r="E1286" s="4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 s="5">
        <v>0.4</v>
      </c>
      <c r="O1286" t="s">
        <v>33</v>
      </c>
      <c r="P1286" t="s">
        <v>61</v>
      </c>
      <c r="Q1286" t="s">
        <v>2193</v>
      </c>
      <c r="R1286" t="s">
        <v>456</v>
      </c>
      <c r="S1286" s="7">
        <v>57201</v>
      </c>
      <c r="T1286" s="3">
        <v>42176</v>
      </c>
      <c r="U1286" s="3">
        <v>42179</v>
      </c>
      <c r="V1286" s="4">
        <v>800.25509999999986</v>
      </c>
      <c r="W1286">
        <v>12</v>
      </c>
      <c r="X1286">
        <v>1159.79</v>
      </c>
      <c r="Y1286" s="7">
        <v>89869</v>
      </c>
    </row>
    <row r="1287" spans="1:25" ht="12.75" customHeight="1">
      <c r="A1287">
        <v>23313</v>
      </c>
      <c r="B1287" t="s">
        <v>106</v>
      </c>
      <c r="C1287" s="4">
        <v>0.08</v>
      </c>
      <c r="D1287" s="8">
        <v>9.48</v>
      </c>
      <c r="E1287" s="4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 s="5">
        <v>0.45</v>
      </c>
      <c r="O1287" t="s">
        <v>33</v>
      </c>
      <c r="P1287" t="s">
        <v>136</v>
      </c>
      <c r="Q1287" t="s">
        <v>362</v>
      </c>
      <c r="R1287" t="s">
        <v>2195</v>
      </c>
      <c r="S1287" s="7">
        <v>33971</v>
      </c>
      <c r="T1287" s="3">
        <v>42087</v>
      </c>
      <c r="U1287" s="3">
        <v>42089</v>
      </c>
      <c r="V1287" s="4">
        <v>-50.4</v>
      </c>
      <c r="W1287">
        <v>2</v>
      </c>
      <c r="X1287">
        <v>20.22</v>
      </c>
      <c r="Y1287" s="7">
        <v>90557</v>
      </c>
    </row>
    <row r="1288" spans="1:25" ht="12.75" customHeight="1">
      <c r="A1288">
        <v>23314</v>
      </c>
      <c r="B1288" t="s">
        <v>106</v>
      </c>
      <c r="C1288" s="4">
        <v>0.03</v>
      </c>
      <c r="D1288" s="8">
        <v>193.17</v>
      </c>
      <c r="E1288" s="4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 s="5">
        <v>0.71</v>
      </c>
      <c r="O1288" t="s">
        <v>33</v>
      </c>
      <c r="P1288" t="s">
        <v>136</v>
      </c>
      <c r="Q1288" t="s">
        <v>362</v>
      </c>
      <c r="R1288" t="s">
        <v>2195</v>
      </c>
      <c r="S1288" s="7">
        <v>33971</v>
      </c>
      <c r="T1288" s="3">
        <v>42087</v>
      </c>
      <c r="U1288" s="3">
        <v>42091</v>
      </c>
      <c r="V1288" s="4">
        <v>-348.75400000000002</v>
      </c>
      <c r="W1288">
        <v>8</v>
      </c>
      <c r="X1288">
        <v>1548.97</v>
      </c>
      <c r="Y1288" s="7">
        <v>90557</v>
      </c>
    </row>
    <row r="1289" spans="1:25" ht="12.75" customHeight="1">
      <c r="A1289">
        <v>26048</v>
      </c>
      <c r="B1289" t="s">
        <v>25</v>
      </c>
      <c r="C1289" s="4">
        <v>0.08</v>
      </c>
      <c r="D1289" s="8">
        <v>68.81</v>
      </c>
      <c r="E1289" s="4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 s="5">
        <v>0.41</v>
      </c>
      <c r="O1289" t="s">
        <v>33</v>
      </c>
      <c r="P1289" t="s">
        <v>34</v>
      </c>
      <c r="Q1289" t="s">
        <v>45</v>
      </c>
      <c r="R1289" t="s">
        <v>2198</v>
      </c>
      <c r="S1289" s="7">
        <v>92236</v>
      </c>
      <c r="T1289" s="3">
        <v>42079</v>
      </c>
      <c r="U1289" s="3">
        <v>42080</v>
      </c>
      <c r="V1289" s="4">
        <v>-550.42999999999995</v>
      </c>
      <c r="W1289">
        <v>5</v>
      </c>
      <c r="X1289">
        <v>337.86</v>
      </c>
      <c r="Y1289" s="7">
        <v>88721</v>
      </c>
    </row>
    <row r="1290" spans="1:25" ht="12.75" customHeight="1">
      <c r="A1290">
        <v>26049</v>
      </c>
      <c r="B1290" t="s">
        <v>25</v>
      </c>
      <c r="C1290" s="4">
        <v>0.04</v>
      </c>
      <c r="D1290" s="8">
        <v>21.38</v>
      </c>
      <c r="E1290" s="4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 s="5">
        <v>0.59</v>
      </c>
      <c r="O1290" t="s">
        <v>33</v>
      </c>
      <c r="P1290" t="s">
        <v>34</v>
      </c>
      <c r="Q1290" t="s">
        <v>45</v>
      </c>
      <c r="R1290" t="s">
        <v>2198</v>
      </c>
      <c r="S1290" s="7">
        <v>92236</v>
      </c>
      <c r="T1290" s="3">
        <v>42079</v>
      </c>
      <c r="U1290" s="3">
        <v>42081</v>
      </c>
      <c r="V1290" s="4">
        <v>-52.12</v>
      </c>
      <c r="W1290">
        <v>4</v>
      </c>
      <c r="X1290">
        <v>84.21</v>
      </c>
      <c r="Y1290" s="7">
        <v>88721</v>
      </c>
    </row>
    <row r="1291" spans="1:25" ht="12.75" customHeight="1">
      <c r="A1291">
        <v>23053</v>
      </c>
      <c r="B1291" t="s">
        <v>37</v>
      </c>
      <c r="C1291" s="4">
        <v>0.06</v>
      </c>
      <c r="D1291" s="8">
        <v>4.9800000000000004</v>
      </c>
      <c r="E1291" s="4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 s="5">
        <v>0.64</v>
      </c>
      <c r="O1291" t="s">
        <v>33</v>
      </c>
      <c r="P1291" t="s">
        <v>34</v>
      </c>
      <c r="Q1291" t="s">
        <v>45</v>
      </c>
      <c r="R1291" t="s">
        <v>2198</v>
      </c>
      <c r="S1291" s="7">
        <v>92236</v>
      </c>
      <c r="T1291" s="3">
        <v>42174</v>
      </c>
      <c r="U1291" s="3">
        <v>42174</v>
      </c>
      <c r="V1291" s="4">
        <v>-27.004999999999999</v>
      </c>
      <c r="W1291">
        <v>7</v>
      </c>
      <c r="X1291">
        <v>38.74</v>
      </c>
      <c r="Y1291" s="7">
        <v>88722</v>
      </c>
    </row>
    <row r="1292" spans="1:25" ht="12.75" customHeight="1">
      <c r="A1292">
        <v>25456</v>
      </c>
      <c r="B1292" t="s">
        <v>56</v>
      </c>
      <c r="C1292" s="4">
        <v>0.06</v>
      </c>
      <c r="D1292" s="8">
        <v>28.53</v>
      </c>
      <c r="E1292" s="4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 s="5">
        <v>0.38</v>
      </c>
      <c r="O1292" t="s">
        <v>33</v>
      </c>
      <c r="P1292" t="s">
        <v>61</v>
      </c>
      <c r="Q1292" t="s">
        <v>330</v>
      </c>
      <c r="R1292" t="s">
        <v>2201</v>
      </c>
      <c r="S1292" s="7">
        <v>52302</v>
      </c>
      <c r="T1292" s="3">
        <v>42087</v>
      </c>
      <c r="U1292" s="3">
        <v>42090</v>
      </c>
      <c r="V1292" s="4">
        <v>74.638500000000008</v>
      </c>
      <c r="W1292">
        <v>5</v>
      </c>
      <c r="X1292">
        <v>134.09</v>
      </c>
      <c r="Y1292" s="7">
        <v>90964</v>
      </c>
    </row>
    <row r="1293" spans="1:25" ht="12.75" customHeight="1">
      <c r="A1293">
        <v>19441</v>
      </c>
      <c r="B1293" t="s">
        <v>25</v>
      </c>
      <c r="C1293" s="4">
        <v>0.06</v>
      </c>
      <c r="D1293" s="8">
        <v>180.98</v>
      </c>
      <c r="E1293" s="4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 s="5">
        <v>0.59</v>
      </c>
      <c r="O1293" t="s">
        <v>33</v>
      </c>
      <c r="P1293" t="s">
        <v>61</v>
      </c>
      <c r="Q1293" t="s">
        <v>1858</v>
      </c>
      <c r="R1293" t="s">
        <v>2203</v>
      </c>
      <c r="S1293" s="7">
        <v>54302</v>
      </c>
      <c r="T1293" s="3">
        <v>42178</v>
      </c>
      <c r="U1293" s="3">
        <v>42179</v>
      </c>
      <c r="V1293" s="4">
        <v>-122.235</v>
      </c>
      <c r="W1293">
        <v>1</v>
      </c>
      <c r="X1293">
        <v>191.73</v>
      </c>
      <c r="Y1293" s="7">
        <v>89611</v>
      </c>
    </row>
    <row r="1294" spans="1:25" ht="12.75" customHeight="1">
      <c r="A1294">
        <v>23721</v>
      </c>
      <c r="B1294" t="s">
        <v>106</v>
      </c>
      <c r="C1294" s="4">
        <v>0.06</v>
      </c>
      <c r="D1294" s="8">
        <v>60.65</v>
      </c>
      <c r="E1294" s="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 s="5">
        <v>0.64</v>
      </c>
      <c r="O1294" t="s">
        <v>33</v>
      </c>
      <c r="P1294" t="s">
        <v>61</v>
      </c>
      <c r="Q1294" t="s">
        <v>1858</v>
      </c>
      <c r="R1294" t="s">
        <v>2205</v>
      </c>
      <c r="S1294" s="7">
        <v>53220</v>
      </c>
      <c r="T1294" s="3">
        <v>42100</v>
      </c>
      <c r="U1294" s="3">
        <v>42102</v>
      </c>
      <c r="V1294" s="4">
        <v>427.00649999999996</v>
      </c>
      <c r="W1294">
        <v>10</v>
      </c>
      <c r="X1294">
        <v>618.85</v>
      </c>
      <c r="Y1294" s="7">
        <v>89608</v>
      </c>
    </row>
    <row r="1295" spans="1:25" ht="12.75" customHeight="1">
      <c r="A1295">
        <v>23693</v>
      </c>
      <c r="B1295" t="s">
        <v>37</v>
      </c>
      <c r="C1295" s="4">
        <v>0.05</v>
      </c>
      <c r="D1295" s="8">
        <v>14.81</v>
      </c>
      <c r="E1295" s="4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 s="5">
        <v>0.43</v>
      </c>
      <c r="O1295" t="s">
        <v>33</v>
      </c>
      <c r="P1295" t="s">
        <v>61</v>
      </c>
      <c r="Q1295" t="s">
        <v>1858</v>
      </c>
      <c r="R1295" t="s">
        <v>2205</v>
      </c>
      <c r="S1295" s="7">
        <v>53220</v>
      </c>
      <c r="T1295" s="3">
        <v>42103</v>
      </c>
      <c r="U1295" s="3">
        <v>42105</v>
      </c>
      <c r="V1295" s="4">
        <v>-190.49</v>
      </c>
      <c r="W1295">
        <v>8</v>
      </c>
      <c r="X1295">
        <v>115.99</v>
      </c>
      <c r="Y1295" s="7">
        <v>89609</v>
      </c>
    </row>
    <row r="1296" spans="1:25" ht="12.75" customHeight="1">
      <c r="A1296">
        <v>23694</v>
      </c>
      <c r="B1296" t="s">
        <v>37</v>
      </c>
      <c r="C1296" s="4">
        <v>0.08</v>
      </c>
      <c r="D1296" s="8">
        <v>2.78</v>
      </c>
      <c r="E1296" s="4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 s="5">
        <v>0.59</v>
      </c>
      <c r="O1296" t="s">
        <v>33</v>
      </c>
      <c r="P1296" t="s">
        <v>61</v>
      </c>
      <c r="Q1296" t="s">
        <v>1858</v>
      </c>
      <c r="R1296" t="s">
        <v>2205</v>
      </c>
      <c r="S1296" s="7">
        <v>53220</v>
      </c>
      <c r="T1296" s="3">
        <v>42103</v>
      </c>
      <c r="U1296" s="3">
        <v>42104</v>
      </c>
      <c r="V1296" s="4">
        <v>-8.77</v>
      </c>
      <c r="W1296">
        <v>7</v>
      </c>
      <c r="X1296">
        <v>19.46</v>
      </c>
      <c r="Y1296" s="7">
        <v>89609</v>
      </c>
    </row>
    <row r="1297" spans="1:25" ht="12.75" customHeight="1">
      <c r="A1297">
        <v>24952</v>
      </c>
      <c r="B1297" t="s">
        <v>106</v>
      </c>
      <c r="C1297" s="4">
        <v>0.06</v>
      </c>
      <c r="D1297" s="8">
        <v>3.74</v>
      </c>
      <c r="E1297" s="4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 s="5">
        <v>0.83</v>
      </c>
      <c r="O1297" t="s">
        <v>33</v>
      </c>
      <c r="P1297" t="s">
        <v>61</v>
      </c>
      <c r="Q1297" t="s">
        <v>1858</v>
      </c>
      <c r="R1297" t="s">
        <v>2205</v>
      </c>
      <c r="S1297" s="7">
        <v>53220</v>
      </c>
      <c r="T1297" s="3">
        <v>42157</v>
      </c>
      <c r="U1297" s="3">
        <v>42164</v>
      </c>
      <c r="V1297" s="4">
        <v>-7.6849999999999996</v>
      </c>
      <c r="W1297">
        <v>12</v>
      </c>
      <c r="X1297">
        <v>44.75</v>
      </c>
      <c r="Y1297" s="7">
        <v>89610</v>
      </c>
    </row>
    <row r="1298" spans="1:25" ht="12.75" customHeight="1">
      <c r="A1298">
        <v>25241</v>
      </c>
      <c r="B1298" t="s">
        <v>47</v>
      </c>
      <c r="C1298" s="4">
        <v>0.06</v>
      </c>
      <c r="D1298" s="8">
        <v>2.08</v>
      </c>
      <c r="E1298" s="4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 s="5">
        <v>0.43</v>
      </c>
      <c r="O1298" t="s">
        <v>33</v>
      </c>
      <c r="P1298" t="s">
        <v>53</v>
      </c>
      <c r="Q1298" t="s">
        <v>415</v>
      </c>
      <c r="R1298" t="s">
        <v>2109</v>
      </c>
      <c r="S1298" s="7">
        <v>20740</v>
      </c>
      <c r="T1298" s="3">
        <v>42017</v>
      </c>
      <c r="U1298" s="3">
        <v>42017</v>
      </c>
      <c r="V1298" s="4">
        <v>-82.559200000000004</v>
      </c>
      <c r="W1298">
        <v>4</v>
      </c>
      <c r="X1298">
        <v>9.23</v>
      </c>
      <c r="Y1298" s="7">
        <v>91480</v>
      </c>
    </row>
    <row r="1299" spans="1:25" ht="12.75" customHeight="1">
      <c r="A1299">
        <v>26137</v>
      </c>
      <c r="B1299" t="s">
        <v>25</v>
      </c>
      <c r="C1299" s="4">
        <v>0.1</v>
      </c>
      <c r="D1299" s="8">
        <v>6.75</v>
      </c>
      <c r="E1299" s="4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 s="5">
        <v>0.35</v>
      </c>
      <c r="O1299" t="s">
        <v>33</v>
      </c>
      <c r="P1299" t="s">
        <v>53</v>
      </c>
      <c r="Q1299" t="s">
        <v>415</v>
      </c>
      <c r="R1299" t="s">
        <v>2109</v>
      </c>
      <c r="S1299" s="7">
        <v>20740</v>
      </c>
      <c r="T1299" s="3">
        <v>42092</v>
      </c>
      <c r="U1299" s="3">
        <v>42092</v>
      </c>
      <c r="V1299" s="4">
        <v>18.147500000000001</v>
      </c>
      <c r="W1299">
        <v>15</v>
      </c>
      <c r="X1299">
        <v>96.13</v>
      </c>
      <c r="Y1299" s="7">
        <v>91481</v>
      </c>
    </row>
    <row r="1300" spans="1:25" ht="12.75" customHeight="1">
      <c r="A1300">
        <v>22526</v>
      </c>
      <c r="B1300" t="s">
        <v>56</v>
      </c>
      <c r="C1300" s="4">
        <v>0.05</v>
      </c>
      <c r="D1300" s="8">
        <v>11.58</v>
      </c>
      <c r="E1300" s="4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 s="5">
        <v>0.35</v>
      </c>
      <c r="O1300" t="s">
        <v>33</v>
      </c>
      <c r="P1300" t="s">
        <v>61</v>
      </c>
      <c r="Q1300" t="s">
        <v>130</v>
      </c>
      <c r="R1300" t="s">
        <v>2211</v>
      </c>
      <c r="S1300" s="7">
        <v>77015</v>
      </c>
      <c r="T1300" s="3">
        <v>42149</v>
      </c>
      <c r="U1300" s="3">
        <v>42152</v>
      </c>
      <c r="V1300" s="4">
        <v>2.8060000000000027</v>
      </c>
      <c r="W1300">
        <v>6</v>
      </c>
      <c r="X1300">
        <v>73.959999999999994</v>
      </c>
      <c r="Y1300" s="7">
        <v>91482</v>
      </c>
    </row>
    <row r="1301" spans="1:25" ht="12.75" customHeight="1">
      <c r="A1301">
        <v>19052</v>
      </c>
      <c r="B1301" t="s">
        <v>56</v>
      </c>
      <c r="C1301" s="4">
        <v>7.0000000000000007E-2</v>
      </c>
      <c r="D1301" s="8">
        <v>200.98</v>
      </c>
      <c r="E1301" s="4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 s="5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 s="7">
        <v>42003</v>
      </c>
      <c r="T1301" s="3">
        <v>42077</v>
      </c>
      <c r="U1301" s="3">
        <v>42078</v>
      </c>
      <c r="V1301" s="4">
        <v>-132.42600000000002</v>
      </c>
      <c r="W1301">
        <v>9</v>
      </c>
      <c r="X1301">
        <v>1805.9</v>
      </c>
      <c r="Y1301" s="7">
        <v>89504</v>
      </c>
    </row>
    <row r="1302" spans="1:25" ht="12.75" customHeight="1">
      <c r="A1302">
        <v>19053</v>
      </c>
      <c r="B1302" t="s">
        <v>56</v>
      </c>
      <c r="C1302" s="4">
        <v>0.02</v>
      </c>
      <c r="D1302" s="8">
        <v>179.29</v>
      </c>
      <c r="E1302" s="4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 s="5">
        <v>0.76</v>
      </c>
      <c r="O1302" t="s">
        <v>33</v>
      </c>
      <c r="P1302" t="s">
        <v>136</v>
      </c>
      <c r="Q1302" t="s">
        <v>613</v>
      </c>
      <c r="R1302" t="s">
        <v>2129</v>
      </c>
      <c r="S1302" s="7">
        <v>42003</v>
      </c>
      <c r="T1302" s="3">
        <v>42077</v>
      </c>
      <c r="U1302" s="3">
        <v>42077</v>
      </c>
      <c r="V1302" s="4">
        <v>-411.23599999999999</v>
      </c>
      <c r="W1302">
        <v>2</v>
      </c>
      <c r="X1302">
        <v>311.41000000000003</v>
      </c>
      <c r="Y1302" s="7">
        <v>89504</v>
      </c>
    </row>
    <row r="1303" spans="1:25" ht="12.75" customHeight="1">
      <c r="A1303">
        <v>20776</v>
      </c>
      <c r="B1303" t="s">
        <v>106</v>
      </c>
      <c r="C1303" s="4">
        <v>0.03</v>
      </c>
      <c r="D1303" s="8">
        <v>297.64</v>
      </c>
      <c r="E1303" s="4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 s="5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 s="7">
        <v>40258</v>
      </c>
      <c r="T1303" s="3">
        <v>42014</v>
      </c>
      <c r="U1303" s="3">
        <v>42019</v>
      </c>
      <c r="V1303" s="4">
        <v>-48.971999999999994</v>
      </c>
      <c r="W1303">
        <v>12</v>
      </c>
      <c r="X1303">
        <v>3707.05</v>
      </c>
      <c r="Y1303" s="7">
        <v>89503</v>
      </c>
    </row>
    <row r="1304" spans="1:25" ht="12.75" customHeight="1">
      <c r="A1304">
        <v>21627</v>
      </c>
      <c r="B1304" t="s">
        <v>25</v>
      </c>
      <c r="C1304" s="4">
        <v>0.1</v>
      </c>
      <c r="D1304" s="8">
        <v>218.75</v>
      </c>
      <c r="E1304" s="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 s="5">
        <v>0.77</v>
      </c>
      <c r="O1304" t="s">
        <v>33</v>
      </c>
      <c r="P1304" t="s">
        <v>136</v>
      </c>
      <c r="Q1304" t="s">
        <v>613</v>
      </c>
      <c r="R1304" t="s">
        <v>2215</v>
      </c>
      <c r="S1304" s="7">
        <v>40258</v>
      </c>
      <c r="T1304" s="3">
        <v>42144</v>
      </c>
      <c r="U1304" s="3">
        <v>42145</v>
      </c>
      <c r="V1304" s="4">
        <v>62.297999999999995</v>
      </c>
      <c r="W1304">
        <v>17</v>
      </c>
      <c r="X1304">
        <v>2805.18</v>
      </c>
      <c r="Y1304" s="7">
        <v>89505</v>
      </c>
    </row>
    <row r="1305" spans="1:25" ht="12.75" customHeight="1">
      <c r="A1305">
        <v>18675</v>
      </c>
      <c r="B1305" t="s">
        <v>47</v>
      </c>
      <c r="C1305" s="4">
        <v>0.08</v>
      </c>
      <c r="D1305" s="8">
        <v>6.48</v>
      </c>
      <c r="E1305" s="4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 s="5">
        <v>0.37</v>
      </c>
      <c r="O1305" t="s">
        <v>33</v>
      </c>
      <c r="P1305" t="s">
        <v>53</v>
      </c>
      <c r="Q1305" t="s">
        <v>415</v>
      </c>
      <c r="R1305" t="s">
        <v>2217</v>
      </c>
      <c r="S1305" s="7">
        <v>21114</v>
      </c>
      <c r="T1305" s="3">
        <v>42093</v>
      </c>
      <c r="U1305" s="3">
        <v>42096</v>
      </c>
      <c r="V1305" s="4">
        <v>-119.32</v>
      </c>
      <c r="W1305">
        <v>13</v>
      </c>
      <c r="X1305">
        <v>80.86</v>
      </c>
      <c r="Y1305" s="7">
        <v>86163</v>
      </c>
    </row>
    <row r="1306" spans="1:25" ht="12.75" customHeight="1">
      <c r="A1306">
        <v>20904</v>
      </c>
      <c r="B1306" t="s">
        <v>47</v>
      </c>
      <c r="C1306" s="4">
        <v>0.06</v>
      </c>
      <c r="D1306" s="8">
        <v>59.76</v>
      </c>
      <c r="E1306" s="4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 s="5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 s="7">
        <v>21501</v>
      </c>
      <c r="T1306" s="3">
        <v>42175</v>
      </c>
      <c r="U1306" s="3">
        <v>42178</v>
      </c>
      <c r="V1306" s="4">
        <v>756.67470000000003</v>
      </c>
      <c r="W1306">
        <v>18</v>
      </c>
      <c r="X1306">
        <v>1096.6300000000001</v>
      </c>
      <c r="Y1306" s="7">
        <v>86165</v>
      </c>
    </row>
    <row r="1307" spans="1:25" ht="12.75" customHeight="1">
      <c r="A1307">
        <v>20905</v>
      </c>
      <c r="B1307" t="s">
        <v>47</v>
      </c>
      <c r="C1307" s="4">
        <v>7.0000000000000007E-2</v>
      </c>
      <c r="D1307" s="8">
        <v>195.99</v>
      </c>
      <c r="E1307" s="4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 s="5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 s="7">
        <v>21501</v>
      </c>
      <c r="T1307" s="3">
        <v>42175</v>
      </c>
      <c r="U1307" s="3">
        <v>42178</v>
      </c>
      <c r="V1307" s="4">
        <v>-222.34299999999999</v>
      </c>
      <c r="W1307">
        <v>4</v>
      </c>
      <c r="X1307">
        <v>632.12</v>
      </c>
      <c r="Y1307" s="7">
        <v>86165</v>
      </c>
    </row>
    <row r="1308" spans="1:25" ht="12.75" customHeight="1">
      <c r="A1308">
        <v>19270</v>
      </c>
      <c r="B1308" t="s">
        <v>37</v>
      </c>
      <c r="C1308" s="4">
        <v>0.09</v>
      </c>
      <c r="D1308" s="8">
        <v>71.37</v>
      </c>
      <c r="E1308" s="4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 s="5">
        <v>0.68</v>
      </c>
      <c r="O1308" t="s">
        <v>33</v>
      </c>
      <c r="P1308" t="s">
        <v>53</v>
      </c>
      <c r="Q1308" t="s">
        <v>415</v>
      </c>
      <c r="R1308" t="s">
        <v>2219</v>
      </c>
      <c r="S1308" s="7">
        <v>21501</v>
      </c>
      <c r="T1308" s="3">
        <v>42178</v>
      </c>
      <c r="U1308" s="3">
        <v>42179</v>
      </c>
      <c r="V1308" s="4">
        <v>-1537.1356000000003</v>
      </c>
      <c r="W1308">
        <v>19</v>
      </c>
      <c r="X1308">
        <v>1302.98</v>
      </c>
      <c r="Y1308" s="7">
        <v>86166</v>
      </c>
    </row>
    <row r="1309" spans="1:25" ht="12.75" customHeight="1">
      <c r="A1309">
        <v>25338</v>
      </c>
      <c r="B1309" t="s">
        <v>47</v>
      </c>
      <c r="C1309" s="4">
        <v>0.04</v>
      </c>
      <c r="D1309" s="8">
        <v>5.98</v>
      </c>
      <c r="E1309" s="4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 s="5">
        <v>0.6</v>
      </c>
      <c r="O1309" t="s">
        <v>33</v>
      </c>
      <c r="P1309" t="s">
        <v>53</v>
      </c>
      <c r="Q1309" t="s">
        <v>415</v>
      </c>
      <c r="R1309" t="s">
        <v>2223</v>
      </c>
      <c r="S1309" s="7">
        <v>21040</v>
      </c>
      <c r="T1309" s="3">
        <v>42123</v>
      </c>
      <c r="U1309" s="3">
        <v>42124</v>
      </c>
      <c r="V1309" s="4">
        <v>52.697600000000001</v>
      </c>
      <c r="W1309">
        <v>22</v>
      </c>
      <c r="X1309">
        <v>131.79</v>
      </c>
      <c r="Y1309" s="7">
        <v>86164</v>
      </c>
    </row>
    <row r="1310" spans="1:25" ht="12.75" customHeight="1">
      <c r="A1310">
        <v>25339</v>
      </c>
      <c r="B1310" t="s">
        <v>47</v>
      </c>
      <c r="C1310" s="4">
        <v>0.01</v>
      </c>
      <c r="D1310" s="8">
        <v>20.99</v>
      </c>
      <c r="E1310" s="4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 s="5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 s="7">
        <v>21040</v>
      </c>
      <c r="T1310" s="3">
        <v>42123</v>
      </c>
      <c r="U1310" s="3">
        <v>42124</v>
      </c>
      <c r="V1310" s="4">
        <v>-78.194159999999982</v>
      </c>
      <c r="W1310">
        <v>2</v>
      </c>
      <c r="X1310">
        <v>35.33</v>
      </c>
      <c r="Y1310" s="7">
        <v>86164</v>
      </c>
    </row>
    <row r="1311" spans="1:25" ht="12.75" customHeight="1">
      <c r="A1311">
        <v>22649</v>
      </c>
      <c r="B1311" t="s">
        <v>37</v>
      </c>
      <c r="C1311" s="4">
        <v>0.1</v>
      </c>
      <c r="D1311" s="8">
        <v>78.69</v>
      </c>
      <c r="E1311" s="4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 s="5">
        <v>0.43</v>
      </c>
      <c r="O1311" t="s">
        <v>33</v>
      </c>
      <c r="P1311" t="s">
        <v>34</v>
      </c>
      <c r="Q1311" t="s">
        <v>45</v>
      </c>
      <c r="R1311" t="s">
        <v>2198</v>
      </c>
      <c r="S1311" s="7">
        <v>92236</v>
      </c>
      <c r="T1311" s="3">
        <v>42050</v>
      </c>
      <c r="U1311" s="3">
        <v>42051</v>
      </c>
      <c r="V1311" s="4">
        <v>465.43949999999995</v>
      </c>
      <c r="W1311">
        <v>9</v>
      </c>
      <c r="X1311">
        <v>674.55</v>
      </c>
      <c r="Y1311" s="7">
        <v>91304</v>
      </c>
    </row>
    <row r="1312" spans="1:25" ht="12.75" customHeight="1">
      <c r="A1312">
        <v>21511</v>
      </c>
      <c r="B1312" t="s">
        <v>56</v>
      </c>
      <c r="C1312" s="4">
        <v>0.06</v>
      </c>
      <c r="D1312" s="8">
        <v>146.34</v>
      </c>
      <c r="E1312" s="4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 s="5">
        <v>0.65</v>
      </c>
      <c r="O1312" t="s">
        <v>33</v>
      </c>
      <c r="P1312" t="s">
        <v>34</v>
      </c>
      <c r="Q1312" t="s">
        <v>45</v>
      </c>
      <c r="R1312" t="s">
        <v>2198</v>
      </c>
      <c r="S1312" s="7">
        <v>92236</v>
      </c>
      <c r="T1312" s="3">
        <v>42171</v>
      </c>
      <c r="U1312" s="3">
        <v>42173</v>
      </c>
      <c r="V1312" s="4">
        <v>-89.27</v>
      </c>
      <c r="W1312">
        <v>12</v>
      </c>
      <c r="X1312">
        <v>1721.24</v>
      </c>
      <c r="Y1312" s="7">
        <v>91306</v>
      </c>
    </row>
    <row r="1313" spans="1:25" ht="12.75" customHeight="1">
      <c r="A1313">
        <v>24526</v>
      </c>
      <c r="B1313" t="s">
        <v>56</v>
      </c>
      <c r="C1313" s="4">
        <v>0</v>
      </c>
      <c r="D1313" s="8">
        <v>29.34</v>
      </c>
      <c r="E1313" s="4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 s="5">
        <v>0.54</v>
      </c>
      <c r="O1313" t="s">
        <v>33</v>
      </c>
      <c r="P1313" t="s">
        <v>34</v>
      </c>
      <c r="Q1313" t="s">
        <v>2226</v>
      </c>
      <c r="R1313" t="s">
        <v>2227</v>
      </c>
      <c r="S1313" s="7">
        <v>82901</v>
      </c>
      <c r="T1313" s="3">
        <v>42078</v>
      </c>
      <c r="U1313" s="3">
        <v>42080</v>
      </c>
      <c r="V1313" s="4">
        <v>385.37</v>
      </c>
      <c r="W1313">
        <v>22</v>
      </c>
      <c r="X1313">
        <v>668.38</v>
      </c>
      <c r="Y1313" s="7">
        <v>91305</v>
      </c>
    </row>
    <row r="1314" spans="1:25" ht="12.75" customHeight="1">
      <c r="A1314">
        <v>20798</v>
      </c>
      <c r="B1314" t="s">
        <v>106</v>
      </c>
      <c r="C1314" s="4">
        <v>0.1</v>
      </c>
      <c r="D1314" s="8">
        <v>205.99</v>
      </c>
      <c r="E1314" s="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 s="5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 s="7">
        <v>33311</v>
      </c>
      <c r="T1314" s="3">
        <v>42067</v>
      </c>
      <c r="U1314" s="3">
        <v>42071</v>
      </c>
      <c r="V1314" s="4">
        <v>147</v>
      </c>
      <c r="W1314">
        <v>2</v>
      </c>
      <c r="X1314">
        <v>324.62</v>
      </c>
      <c r="Y1314" s="7">
        <v>88267</v>
      </c>
    </row>
    <row r="1315" spans="1:25" ht="12.75" customHeight="1">
      <c r="A1315">
        <v>18892</v>
      </c>
      <c r="B1315" t="s">
        <v>47</v>
      </c>
      <c r="C1315" s="4">
        <v>0.05</v>
      </c>
      <c r="D1315" s="8">
        <v>2.08</v>
      </c>
      <c r="E1315" s="4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 s="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 s="7">
        <v>33311</v>
      </c>
      <c r="T1315" s="3">
        <v>42049</v>
      </c>
      <c r="U1315" s="3">
        <v>42051</v>
      </c>
      <c r="V1315" s="4">
        <v>-1045.0160000000001</v>
      </c>
      <c r="W1315">
        <v>19</v>
      </c>
      <c r="X1315">
        <v>40.93</v>
      </c>
      <c r="Y1315" s="7">
        <v>88268</v>
      </c>
    </row>
    <row r="1316" spans="1:25" ht="12.75" customHeight="1">
      <c r="A1316">
        <v>21772</v>
      </c>
      <c r="B1316" t="s">
        <v>47</v>
      </c>
      <c r="C1316" s="4">
        <v>0</v>
      </c>
      <c r="D1316" s="8">
        <v>7.28</v>
      </c>
      <c r="E1316" s="4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 s="5">
        <v>0.37</v>
      </c>
      <c r="O1316" t="s">
        <v>33</v>
      </c>
      <c r="P1316" t="s">
        <v>136</v>
      </c>
      <c r="Q1316" t="s">
        <v>362</v>
      </c>
      <c r="R1316" t="s">
        <v>2231</v>
      </c>
      <c r="S1316" s="7">
        <v>33917</v>
      </c>
      <c r="T1316" s="3">
        <v>42040</v>
      </c>
      <c r="U1316" s="3">
        <v>42040</v>
      </c>
      <c r="V1316" s="4">
        <v>167.16000000000003</v>
      </c>
      <c r="W1316">
        <v>7</v>
      </c>
      <c r="X1316">
        <v>53.42</v>
      </c>
      <c r="Y1316" s="7">
        <v>88265</v>
      </c>
    </row>
    <row r="1317" spans="1:25" ht="12.75" customHeight="1">
      <c r="A1317">
        <v>24890</v>
      </c>
      <c r="B1317" t="s">
        <v>25</v>
      </c>
      <c r="C1317" s="4">
        <v>0.06</v>
      </c>
      <c r="D1317" s="8">
        <v>8.33</v>
      </c>
      <c r="E1317" s="4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 s="5">
        <v>0.52</v>
      </c>
      <c r="O1317" t="s">
        <v>33</v>
      </c>
      <c r="P1317" t="s">
        <v>136</v>
      </c>
      <c r="Q1317" t="s">
        <v>362</v>
      </c>
      <c r="R1317" t="s">
        <v>2233</v>
      </c>
      <c r="S1317" s="7">
        <v>32259</v>
      </c>
      <c r="T1317" s="3">
        <v>42060</v>
      </c>
      <c r="U1317" s="3">
        <v>42061</v>
      </c>
      <c r="V1317" s="4">
        <v>-344.82000000000005</v>
      </c>
      <c r="W1317">
        <v>1</v>
      </c>
      <c r="X1317">
        <v>8.49</v>
      </c>
      <c r="Y1317" s="7">
        <v>88266</v>
      </c>
    </row>
    <row r="1318" spans="1:25" ht="12.75" customHeight="1">
      <c r="A1318">
        <v>19369</v>
      </c>
      <c r="B1318" t="s">
        <v>25</v>
      </c>
      <c r="C1318" s="4">
        <v>0</v>
      </c>
      <c r="D1318" s="8">
        <v>5.77</v>
      </c>
      <c r="E1318" s="4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 s="5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 s="7">
        <v>44256</v>
      </c>
      <c r="T1318" s="3">
        <v>42105</v>
      </c>
      <c r="U1318" s="3">
        <v>42107</v>
      </c>
      <c r="V1318" s="4">
        <v>-61.5276</v>
      </c>
      <c r="W1318">
        <v>11</v>
      </c>
      <c r="X1318">
        <v>69.89</v>
      </c>
      <c r="Y1318" s="7">
        <v>90040</v>
      </c>
    </row>
    <row r="1319" spans="1:25" ht="12.75" customHeight="1">
      <c r="A1319">
        <v>21582</v>
      </c>
      <c r="B1319" t="s">
        <v>106</v>
      </c>
      <c r="C1319" s="4">
        <v>7.0000000000000007E-2</v>
      </c>
      <c r="D1319" s="8">
        <v>5.98</v>
      </c>
      <c r="E1319" s="4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 s="5">
        <v>0.36</v>
      </c>
      <c r="O1319" t="s">
        <v>33</v>
      </c>
      <c r="P1319" t="s">
        <v>136</v>
      </c>
      <c r="Q1319" t="s">
        <v>362</v>
      </c>
      <c r="R1319" t="s">
        <v>2237</v>
      </c>
      <c r="S1319" s="7">
        <v>33024</v>
      </c>
      <c r="T1319" s="3">
        <v>42017</v>
      </c>
      <c r="U1319" s="3">
        <v>42019</v>
      </c>
      <c r="V1319" s="4">
        <v>-41.972700000000003</v>
      </c>
      <c r="W1319">
        <v>13</v>
      </c>
      <c r="X1319">
        <v>77.42</v>
      </c>
      <c r="Y1319" s="7">
        <v>90408</v>
      </c>
    </row>
    <row r="1320" spans="1:25" ht="12.75" customHeight="1">
      <c r="A1320">
        <v>21988</v>
      </c>
      <c r="B1320" t="s">
        <v>56</v>
      </c>
      <c r="C1320" s="4">
        <v>0.01</v>
      </c>
      <c r="D1320" s="8">
        <v>1.76</v>
      </c>
      <c r="E1320" s="4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 s="5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 s="7">
        <v>55803</v>
      </c>
      <c r="T1320" s="3">
        <v>42078</v>
      </c>
      <c r="U1320" s="3">
        <v>42079</v>
      </c>
      <c r="V1320" s="4">
        <v>-1.56</v>
      </c>
      <c r="W1320">
        <v>4</v>
      </c>
      <c r="X1320">
        <v>7.2</v>
      </c>
      <c r="Y1320" s="7">
        <v>90714</v>
      </c>
    </row>
    <row r="1321" spans="1:25" ht="12.75" customHeight="1">
      <c r="A1321">
        <v>22827</v>
      </c>
      <c r="B1321" t="s">
        <v>25</v>
      </c>
      <c r="C1321" s="4">
        <v>0.05</v>
      </c>
      <c r="D1321" s="8">
        <v>3.28</v>
      </c>
      <c r="E1321" s="4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 s="5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 s="7">
        <v>83843</v>
      </c>
      <c r="T1321" s="3">
        <v>42068</v>
      </c>
      <c r="U1321" s="3">
        <v>42069</v>
      </c>
      <c r="V1321" s="4">
        <v>-100.24</v>
      </c>
      <c r="W1321">
        <v>18</v>
      </c>
      <c r="X1321">
        <v>61.29</v>
      </c>
      <c r="Y1321" s="7">
        <v>91321</v>
      </c>
    </row>
    <row r="1322" spans="1:25" ht="12.75" customHeight="1">
      <c r="A1322">
        <v>22828</v>
      </c>
      <c r="B1322" t="s">
        <v>25</v>
      </c>
      <c r="C1322" s="4">
        <v>0.03</v>
      </c>
      <c r="D1322" s="8">
        <v>6.98</v>
      </c>
      <c r="E1322" s="4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 s="5">
        <v>0.83</v>
      </c>
      <c r="O1322" t="s">
        <v>33</v>
      </c>
      <c r="P1322" t="s">
        <v>34</v>
      </c>
      <c r="Q1322" t="s">
        <v>1741</v>
      </c>
      <c r="R1322" t="s">
        <v>1742</v>
      </c>
      <c r="S1322" s="7">
        <v>83843</v>
      </c>
      <c r="T1322" s="3">
        <v>42068</v>
      </c>
      <c r="U1322" s="3">
        <v>42070</v>
      </c>
      <c r="V1322" s="4">
        <v>-262.62</v>
      </c>
      <c r="W1322">
        <v>15</v>
      </c>
      <c r="X1322">
        <v>109.15</v>
      </c>
      <c r="Y1322" s="7">
        <v>91321</v>
      </c>
    </row>
    <row r="1323" spans="1:25" ht="12.75" customHeight="1">
      <c r="A1323">
        <v>18151</v>
      </c>
      <c r="B1323" t="s">
        <v>106</v>
      </c>
      <c r="C1323" s="4">
        <v>0.06</v>
      </c>
      <c r="D1323" s="8">
        <v>122.99</v>
      </c>
      <c r="E1323" s="4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 s="5">
        <v>0.37</v>
      </c>
      <c r="O1323" t="s">
        <v>33</v>
      </c>
      <c r="P1323" t="s">
        <v>61</v>
      </c>
      <c r="Q1323" t="s">
        <v>300</v>
      </c>
      <c r="R1323" t="s">
        <v>2001</v>
      </c>
      <c r="S1323" s="7">
        <v>48135</v>
      </c>
      <c r="T1323" s="3">
        <v>42129</v>
      </c>
      <c r="U1323" s="3">
        <v>42131</v>
      </c>
      <c r="V1323" s="4">
        <v>1019.7095999999999</v>
      </c>
      <c r="W1323">
        <v>12</v>
      </c>
      <c r="X1323">
        <v>1477.84</v>
      </c>
      <c r="Y1323" s="7">
        <v>86655</v>
      </c>
    </row>
    <row r="1324" spans="1:25" ht="12.75" customHeight="1">
      <c r="A1324">
        <v>19898</v>
      </c>
      <c r="B1324" t="s">
        <v>37</v>
      </c>
      <c r="C1324" s="4">
        <v>7.0000000000000007E-2</v>
      </c>
      <c r="D1324" s="8">
        <v>3.38</v>
      </c>
      <c r="E1324" s="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 s="5">
        <v>0.48</v>
      </c>
      <c r="O1324" t="s">
        <v>33</v>
      </c>
      <c r="P1324" t="s">
        <v>61</v>
      </c>
      <c r="Q1324" t="s">
        <v>300</v>
      </c>
      <c r="R1324" t="s">
        <v>2245</v>
      </c>
      <c r="S1324" s="7">
        <v>49505</v>
      </c>
      <c r="T1324" s="3">
        <v>42120</v>
      </c>
      <c r="U1324" s="3">
        <v>42122</v>
      </c>
      <c r="V1324" s="4">
        <v>19.04</v>
      </c>
      <c r="W1324">
        <v>9</v>
      </c>
      <c r="X1324">
        <v>29.08</v>
      </c>
      <c r="Y1324" s="7">
        <v>86654</v>
      </c>
    </row>
    <row r="1325" spans="1:25" ht="12.75" customHeight="1">
      <c r="A1325">
        <v>18152</v>
      </c>
      <c r="B1325" t="s">
        <v>106</v>
      </c>
      <c r="C1325" s="4">
        <v>0.08</v>
      </c>
      <c r="D1325" s="8">
        <v>68.81</v>
      </c>
      <c r="E1325" s="4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 s="5">
        <v>0.41</v>
      </c>
      <c r="O1325" t="s">
        <v>33</v>
      </c>
      <c r="P1325" t="s">
        <v>61</v>
      </c>
      <c r="Q1325" t="s">
        <v>300</v>
      </c>
      <c r="R1325" t="s">
        <v>2245</v>
      </c>
      <c r="S1325" s="7">
        <v>49505</v>
      </c>
      <c r="T1325" s="3">
        <v>42129</v>
      </c>
      <c r="U1325" s="3">
        <v>42131</v>
      </c>
      <c r="V1325" s="4">
        <v>-1069.72</v>
      </c>
      <c r="W1325">
        <v>17</v>
      </c>
      <c r="X1325">
        <v>1162.46</v>
      </c>
      <c r="Y1325" s="7">
        <v>86655</v>
      </c>
    </row>
    <row r="1326" spans="1:25" ht="12.75" customHeight="1">
      <c r="A1326">
        <v>1898</v>
      </c>
      <c r="B1326" t="s">
        <v>37</v>
      </c>
      <c r="C1326" s="4">
        <v>7.0000000000000007E-2</v>
      </c>
      <c r="D1326" s="8">
        <v>3.38</v>
      </c>
      <c r="E1326" s="4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 s="5">
        <v>0.48</v>
      </c>
      <c r="O1326" t="s">
        <v>33</v>
      </c>
      <c r="P1326" t="s">
        <v>53</v>
      </c>
      <c r="Q1326" t="s">
        <v>71</v>
      </c>
      <c r="R1326" t="s">
        <v>90</v>
      </c>
      <c r="S1326" s="7">
        <v>10024</v>
      </c>
      <c r="T1326" s="3">
        <v>42120</v>
      </c>
      <c r="U1326" s="3">
        <v>42122</v>
      </c>
      <c r="V1326" s="4">
        <v>19.04</v>
      </c>
      <c r="W1326">
        <v>34</v>
      </c>
      <c r="X1326">
        <v>109.86</v>
      </c>
      <c r="Y1326" s="7">
        <v>13606</v>
      </c>
    </row>
    <row r="1327" spans="1:25" ht="12.75" customHeight="1">
      <c r="A1327">
        <v>151</v>
      </c>
      <c r="B1327" t="s">
        <v>106</v>
      </c>
      <c r="C1327" s="4">
        <v>0.06</v>
      </c>
      <c r="D1327" s="8">
        <v>122.99</v>
      </c>
      <c r="E1327" s="4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 s="5">
        <v>0.37</v>
      </c>
      <c r="O1327" t="s">
        <v>33</v>
      </c>
      <c r="P1327" t="s">
        <v>53</v>
      </c>
      <c r="Q1327" t="s">
        <v>71</v>
      </c>
      <c r="R1327" t="s">
        <v>90</v>
      </c>
      <c r="S1327" s="7">
        <v>10024</v>
      </c>
      <c r="T1327" s="3">
        <v>42129</v>
      </c>
      <c r="U1327" s="3">
        <v>42131</v>
      </c>
      <c r="V1327" s="4">
        <v>1408.1865</v>
      </c>
      <c r="W1327">
        <v>48</v>
      </c>
      <c r="X1327">
        <v>5911.35</v>
      </c>
      <c r="Y1327" s="7">
        <v>962</v>
      </c>
    </row>
    <row r="1328" spans="1:25" ht="12.75" customHeight="1">
      <c r="A1328">
        <v>152</v>
      </c>
      <c r="B1328" t="s">
        <v>106</v>
      </c>
      <c r="C1328" s="4">
        <v>0.08</v>
      </c>
      <c r="D1328" s="8">
        <v>68.81</v>
      </c>
      <c r="E1328" s="4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 s="5">
        <v>0.41</v>
      </c>
      <c r="O1328" t="s">
        <v>33</v>
      </c>
      <c r="P1328" t="s">
        <v>53</v>
      </c>
      <c r="Q1328" t="s">
        <v>71</v>
      </c>
      <c r="R1328" t="s">
        <v>90</v>
      </c>
      <c r="S1328" s="7">
        <v>10024</v>
      </c>
      <c r="T1328" s="3">
        <v>42129</v>
      </c>
      <c r="U1328" s="3">
        <v>42131</v>
      </c>
      <c r="V1328" s="4">
        <v>-1069.72</v>
      </c>
      <c r="W1328">
        <v>68</v>
      </c>
      <c r="X1328">
        <v>4649.8500000000004</v>
      </c>
      <c r="Y1328" s="7">
        <v>962</v>
      </c>
    </row>
    <row r="1329" spans="1:25" ht="12.75" customHeight="1">
      <c r="A1329">
        <v>21171</v>
      </c>
      <c r="B1329" t="s">
        <v>47</v>
      </c>
      <c r="C1329" s="4">
        <v>0.1</v>
      </c>
      <c r="D1329" s="8">
        <v>130.97999999999999</v>
      </c>
      <c r="E1329" s="4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 s="5">
        <v>0.78</v>
      </c>
      <c r="O1329" t="s">
        <v>33</v>
      </c>
      <c r="P1329" t="s">
        <v>34</v>
      </c>
      <c r="Q1329" t="s">
        <v>366</v>
      </c>
      <c r="R1329" t="s">
        <v>2248</v>
      </c>
      <c r="S1329" s="7">
        <v>88001</v>
      </c>
      <c r="T1329" s="3">
        <v>42146</v>
      </c>
      <c r="U1329" s="3">
        <v>42148</v>
      </c>
      <c r="V1329" s="4">
        <v>2000.11</v>
      </c>
      <c r="W1329">
        <v>18</v>
      </c>
      <c r="X1329">
        <v>2259.9899999999998</v>
      </c>
      <c r="Y1329" s="7">
        <v>89184</v>
      </c>
    </row>
    <row r="1330" spans="1:25" ht="12.75" customHeight="1">
      <c r="A1330">
        <v>23557</v>
      </c>
      <c r="B1330" t="s">
        <v>37</v>
      </c>
      <c r="C1330" s="4">
        <v>0.06</v>
      </c>
      <c r="D1330" s="8">
        <v>4.7699999999999996</v>
      </c>
      <c r="E1330" s="4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 s="5">
        <v>0.72</v>
      </c>
      <c r="O1330" t="s">
        <v>33</v>
      </c>
      <c r="P1330" t="s">
        <v>53</v>
      </c>
      <c r="Q1330" t="s">
        <v>71</v>
      </c>
      <c r="R1330" t="s">
        <v>2251</v>
      </c>
      <c r="S1330" s="7">
        <v>11572</v>
      </c>
      <c r="T1330" s="3">
        <v>42149</v>
      </c>
      <c r="U1330" s="3">
        <v>42150</v>
      </c>
      <c r="V1330" s="4">
        <v>-45.64</v>
      </c>
      <c r="W1330">
        <v>9</v>
      </c>
      <c r="X1330">
        <v>42.46</v>
      </c>
      <c r="Y1330" s="7">
        <v>91122</v>
      </c>
    </row>
    <row r="1331" spans="1:25" ht="12.75" customHeight="1">
      <c r="A1331">
        <v>23558</v>
      </c>
      <c r="B1331" t="s">
        <v>37</v>
      </c>
      <c r="C1331" s="4">
        <v>0.1</v>
      </c>
      <c r="D1331" s="8">
        <v>27.18</v>
      </c>
      <c r="E1331" s="4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 s="5">
        <v>0.38</v>
      </c>
      <c r="O1331" t="s">
        <v>33</v>
      </c>
      <c r="P1331" t="s">
        <v>53</v>
      </c>
      <c r="Q1331" t="s">
        <v>71</v>
      </c>
      <c r="R1331" t="s">
        <v>2251</v>
      </c>
      <c r="S1331" s="7">
        <v>11572</v>
      </c>
      <c r="T1331" s="3">
        <v>42149</v>
      </c>
      <c r="U1331" s="3">
        <v>42151</v>
      </c>
      <c r="V1331" s="4">
        <v>204.49</v>
      </c>
      <c r="W1331">
        <v>12</v>
      </c>
      <c r="X1331">
        <v>314.06</v>
      </c>
      <c r="Y1331" s="7">
        <v>91122</v>
      </c>
    </row>
    <row r="1332" spans="1:25" ht="12.75" customHeight="1">
      <c r="A1332">
        <v>21462</v>
      </c>
      <c r="B1332" t="s">
        <v>37</v>
      </c>
      <c r="C1332" s="4">
        <v>0</v>
      </c>
      <c r="D1332" s="8">
        <v>999.99</v>
      </c>
      <c r="E1332" s="4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 s="5">
        <v>0.36</v>
      </c>
      <c r="O1332" t="s">
        <v>33</v>
      </c>
      <c r="P1332" t="s">
        <v>53</v>
      </c>
      <c r="Q1332" t="s">
        <v>71</v>
      </c>
      <c r="R1332" t="s">
        <v>2251</v>
      </c>
      <c r="S1332" s="7">
        <v>11572</v>
      </c>
      <c r="T1332" s="3">
        <v>42159</v>
      </c>
      <c r="U1332" s="3">
        <v>42161</v>
      </c>
      <c r="V1332" s="4">
        <v>-1455.9971999999998</v>
      </c>
      <c r="W1332">
        <v>1</v>
      </c>
      <c r="X1332">
        <v>1009.99</v>
      </c>
      <c r="Y1332" s="7">
        <v>91123</v>
      </c>
    </row>
    <row r="1333" spans="1:25" ht="12.75" customHeight="1">
      <c r="A1333">
        <v>21463</v>
      </c>
      <c r="B1333" t="s">
        <v>37</v>
      </c>
      <c r="C1333" s="4">
        <v>0.05</v>
      </c>
      <c r="D1333" s="8">
        <v>6.48</v>
      </c>
      <c r="E1333" s="4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 s="5">
        <v>0.37</v>
      </c>
      <c r="O1333" t="s">
        <v>33</v>
      </c>
      <c r="P1333" t="s">
        <v>53</v>
      </c>
      <c r="Q1333" t="s">
        <v>71</v>
      </c>
      <c r="R1333" t="s">
        <v>2251</v>
      </c>
      <c r="S1333" s="7">
        <v>11572</v>
      </c>
      <c r="T1333" s="3">
        <v>42159</v>
      </c>
      <c r="U1333" s="3">
        <v>42160</v>
      </c>
      <c r="V1333" s="4">
        <v>-22.56</v>
      </c>
      <c r="W1333">
        <v>13</v>
      </c>
      <c r="X1333">
        <v>92.16</v>
      </c>
      <c r="Y1333" s="7">
        <v>91123</v>
      </c>
    </row>
    <row r="1334" spans="1:25" ht="12.75" customHeight="1">
      <c r="A1334">
        <v>18277</v>
      </c>
      <c r="B1334" t="s">
        <v>56</v>
      </c>
      <c r="C1334" s="4">
        <v>0.02</v>
      </c>
      <c r="D1334" s="8">
        <v>6.48</v>
      </c>
      <c r="E1334" s="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 s="5">
        <v>0.37</v>
      </c>
      <c r="O1334" t="s">
        <v>33</v>
      </c>
      <c r="P1334" t="s">
        <v>136</v>
      </c>
      <c r="Q1334" t="s">
        <v>387</v>
      </c>
      <c r="R1334" t="s">
        <v>652</v>
      </c>
      <c r="S1334" s="7">
        <v>30076</v>
      </c>
      <c r="T1334" s="3">
        <v>42153</v>
      </c>
      <c r="U1334" s="3">
        <v>42155</v>
      </c>
      <c r="V1334" s="4">
        <v>-1191.5260000000001</v>
      </c>
      <c r="W1334">
        <v>2</v>
      </c>
      <c r="X1334">
        <v>16.5</v>
      </c>
      <c r="Y1334" s="7">
        <v>86950</v>
      </c>
    </row>
    <row r="1335" spans="1:25" ht="12.75" customHeight="1">
      <c r="A1335">
        <v>18197</v>
      </c>
      <c r="B1335" t="s">
        <v>25</v>
      </c>
      <c r="C1335" s="4">
        <v>0.06</v>
      </c>
      <c r="D1335" s="8">
        <v>105.29</v>
      </c>
      <c r="E1335" s="4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 s="5">
        <v>0.79</v>
      </c>
      <c r="O1335" t="s">
        <v>33</v>
      </c>
      <c r="P1335" t="s">
        <v>136</v>
      </c>
      <c r="Q1335" t="s">
        <v>387</v>
      </c>
      <c r="R1335" t="s">
        <v>652</v>
      </c>
      <c r="S1335" s="7">
        <v>30076</v>
      </c>
      <c r="T1335" s="3">
        <v>42008</v>
      </c>
      <c r="U1335" s="3">
        <v>42010</v>
      </c>
      <c r="V1335" s="4">
        <v>-45.01</v>
      </c>
      <c r="W1335">
        <v>12</v>
      </c>
      <c r="X1335">
        <v>1202.6600000000001</v>
      </c>
      <c r="Y1335" s="7">
        <v>86951</v>
      </c>
    </row>
    <row r="1336" spans="1:25" ht="12.75" customHeight="1">
      <c r="A1336">
        <v>20197</v>
      </c>
      <c r="B1336" t="s">
        <v>47</v>
      </c>
      <c r="C1336" s="4">
        <v>0.01</v>
      </c>
      <c r="D1336" s="8">
        <v>11.7</v>
      </c>
      <c r="E1336" s="4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 s="5">
        <v>0.4</v>
      </c>
      <c r="O1336" t="s">
        <v>33</v>
      </c>
      <c r="P1336" t="s">
        <v>136</v>
      </c>
      <c r="Q1336" t="s">
        <v>387</v>
      </c>
      <c r="R1336" t="s">
        <v>2257</v>
      </c>
      <c r="S1336" s="7">
        <v>30328</v>
      </c>
      <c r="T1336" s="3">
        <v>42125</v>
      </c>
      <c r="U1336" s="3">
        <v>42127</v>
      </c>
      <c r="V1336" s="4">
        <v>39.209999999999994</v>
      </c>
      <c r="W1336">
        <v>16</v>
      </c>
      <c r="X1336">
        <v>196.69</v>
      </c>
      <c r="Y1336" s="7">
        <v>86949</v>
      </c>
    </row>
    <row r="1337" spans="1:25" ht="12.75" customHeight="1">
      <c r="A1337">
        <v>20198</v>
      </c>
      <c r="B1337" t="s">
        <v>47</v>
      </c>
      <c r="C1337" s="4">
        <v>0.03</v>
      </c>
      <c r="D1337" s="8">
        <v>4.55</v>
      </c>
      <c r="E1337" s="4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 s="5">
        <v>0.35</v>
      </c>
      <c r="O1337" t="s">
        <v>33</v>
      </c>
      <c r="P1337" t="s">
        <v>136</v>
      </c>
      <c r="Q1337" t="s">
        <v>387</v>
      </c>
      <c r="R1337" t="s">
        <v>2257</v>
      </c>
      <c r="S1337" s="7">
        <v>30328</v>
      </c>
      <c r="T1337" s="3">
        <v>42125</v>
      </c>
      <c r="U1337" s="3">
        <v>42125</v>
      </c>
      <c r="V1337" s="4">
        <v>100.38000000000001</v>
      </c>
      <c r="W1337">
        <v>9</v>
      </c>
      <c r="X1337">
        <v>40.28</v>
      </c>
      <c r="Y1337" s="7">
        <v>86949</v>
      </c>
    </row>
    <row r="1338" spans="1:25" ht="12.75" customHeight="1">
      <c r="A1338">
        <v>24954</v>
      </c>
      <c r="B1338" t="s">
        <v>37</v>
      </c>
      <c r="C1338" s="4">
        <v>0.04</v>
      </c>
      <c r="D1338" s="8">
        <v>60.97</v>
      </c>
      <c r="E1338" s="4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 s="5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 s="7">
        <v>31401</v>
      </c>
      <c r="T1338" s="3">
        <v>42086</v>
      </c>
      <c r="U1338" s="3">
        <v>42087</v>
      </c>
      <c r="V1338" s="4">
        <v>79.423200000000008</v>
      </c>
      <c r="W1338">
        <v>15</v>
      </c>
      <c r="X1338">
        <v>904.31</v>
      </c>
      <c r="Y1338" s="7">
        <v>86952</v>
      </c>
    </row>
    <row r="1339" spans="1:25" ht="12.75" customHeight="1">
      <c r="A1339">
        <v>22369</v>
      </c>
      <c r="B1339" t="s">
        <v>37</v>
      </c>
      <c r="C1339" s="4">
        <v>0.03</v>
      </c>
      <c r="D1339" s="8">
        <v>7.64</v>
      </c>
      <c r="E1339" s="4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 s="5">
        <v>0.36</v>
      </c>
      <c r="O1339" t="s">
        <v>33</v>
      </c>
      <c r="P1339" t="s">
        <v>61</v>
      </c>
      <c r="Q1339" t="s">
        <v>178</v>
      </c>
      <c r="R1339" t="s">
        <v>2261</v>
      </c>
      <c r="S1339" s="7">
        <v>60103</v>
      </c>
      <c r="T1339" s="3">
        <v>42059</v>
      </c>
      <c r="U1339" s="3">
        <v>42061</v>
      </c>
      <c r="V1339" s="4">
        <v>-15.090400000000001</v>
      </c>
      <c r="W1339">
        <v>12</v>
      </c>
      <c r="X1339">
        <v>96.86</v>
      </c>
      <c r="Y1339" s="7">
        <v>86373</v>
      </c>
    </row>
    <row r="1340" spans="1:25" ht="12.75" customHeight="1">
      <c r="A1340">
        <v>19001</v>
      </c>
      <c r="B1340" t="s">
        <v>56</v>
      </c>
      <c r="C1340" s="4">
        <v>0</v>
      </c>
      <c r="D1340" s="8">
        <v>65.989999999999995</v>
      </c>
      <c r="E1340" s="4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 s="5">
        <v>0.59</v>
      </c>
      <c r="O1340" t="s">
        <v>33</v>
      </c>
      <c r="P1340" t="s">
        <v>136</v>
      </c>
      <c r="Q1340" t="s">
        <v>137</v>
      </c>
      <c r="R1340" t="s">
        <v>2027</v>
      </c>
      <c r="S1340" s="7">
        <v>22124</v>
      </c>
      <c r="T1340" s="3">
        <v>42077</v>
      </c>
      <c r="U1340" s="3">
        <v>42078</v>
      </c>
      <c r="V1340" s="4">
        <v>-60.563999999999993</v>
      </c>
      <c r="W1340">
        <v>13</v>
      </c>
      <c r="X1340">
        <v>765.65</v>
      </c>
      <c r="Y1340" s="7">
        <v>86754</v>
      </c>
    </row>
    <row r="1341" spans="1:25" ht="12.75" customHeight="1">
      <c r="A1341">
        <v>20325</v>
      </c>
      <c r="B1341" t="s">
        <v>47</v>
      </c>
      <c r="C1341" s="4">
        <v>0.03</v>
      </c>
      <c r="D1341" s="8">
        <v>2.1</v>
      </c>
      <c r="E1341" s="4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 s="5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 s="7">
        <v>23805</v>
      </c>
      <c r="T1341" s="3">
        <v>42010</v>
      </c>
      <c r="U1341" s="3">
        <v>42011</v>
      </c>
      <c r="V1341" s="4">
        <v>-1473.9059999999999</v>
      </c>
      <c r="W1341">
        <v>4</v>
      </c>
      <c r="X1341">
        <v>8.7200000000000006</v>
      </c>
      <c r="Y1341" s="7">
        <v>86750</v>
      </c>
    </row>
    <row r="1342" spans="1:25" ht="12.75" customHeight="1">
      <c r="A1342">
        <v>21724</v>
      </c>
      <c r="B1342" t="s">
        <v>25</v>
      </c>
      <c r="C1342" s="4">
        <v>0.1</v>
      </c>
      <c r="D1342" s="8">
        <v>599.99</v>
      </c>
      <c r="E1342" s="4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 s="5">
        <v>0.5</v>
      </c>
      <c r="O1342" t="s">
        <v>33</v>
      </c>
      <c r="P1342" t="s">
        <v>136</v>
      </c>
      <c r="Q1342" t="s">
        <v>137</v>
      </c>
      <c r="R1342" t="s">
        <v>2265</v>
      </c>
      <c r="S1342" s="7">
        <v>23805</v>
      </c>
      <c r="T1342" s="3">
        <v>42014</v>
      </c>
      <c r="U1342" s="3">
        <v>42015</v>
      </c>
      <c r="V1342" s="4">
        <v>-343.12599999999998</v>
      </c>
      <c r="W1342">
        <v>11</v>
      </c>
      <c r="X1342">
        <v>6355.69</v>
      </c>
      <c r="Y1342" s="7">
        <v>86753</v>
      </c>
    </row>
    <row r="1343" spans="1:25" ht="12.75" customHeight="1">
      <c r="A1343">
        <v>21725</v>
      </c>
      <c r="B1343" t="s">
        <v>25</v>
      </c>
      <c r="C1343" s="4">
        <v>0.06</v>
      </c>
      <c r="D1343" s="8">
        <v>2.78</v>
      </c>
      <c r="E1343" s="4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 s="5">
        <v>0.59</v>
      </c>
      <c r="O1343" t="s">
        <v>33</v>
      </c>
      <c r="P1343" t="s">
        <v>136</v>
      </c>
      <c r="Q1343" t="s">
        <v>137</v>
      </c>
      <c r="R1343" t="s">
        <v>2265</v>
      </c>
      <c r="S1343" s="7">
        <v>23805</v>
      </c>
      <c r="T1343" s="3">
        <v>42014</v>
      </c>
      <c r="U1343" s="3">
        <v>42016</v>
      </c>
      <c r="V1343" s="4">
        <v>66.359999999999985</v>
      </c>
      <c r="W1343">
        <v>10</v>
      </c>
      <c r="X1343">
        <v>28.09</v>
      </c>
      <c r="Y1343" s="7">
        <v>86753</v>
      </c>
    </row>
    <row r="1344" spans="1:25" ht="12.75" customHeight="1">
      <c r="A1344">
        <v>22376</v>
      </c>
      <c r="B1344" t="s">
        <v>37</v>
      </c>
      <c r="C1344" s="4">
        <v>7.0000000000000007E-2</v>
      </c>
      <c r="D1344" s="8">
        <v>225.04</v>
      </c>
      <c r="E1344" s="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 s="5">
        <v>0.42</v>
      </c>
      <c r="O1344" t="s">
        <v>33</v>
      </c>
      <c r="P1344" t="s">
        <v>136</v>
      </c>
      <c r="Q1344" t="s">
        <v>137</v>
      </c>
      <c r="R1344" t="s">
        <v>1449</v>
      </c>
      <c r="S1344" s="7">
        <v>23701</v>
      </c>
      <c r="T1344" s="3">
        <v>42089</v>
      </c>
      <c r="U1344" s="3">
        <v>42089</v>
      </c>
      <c r="V1344" s="4">
        <v>-162.91800000000001</v>
      </c>
      <c r="W1344">
        <v>5</v>
      </c>
      <c r="X1344">
        <v>1130.1500000000001</v>
      </c>
      <c r="Y1344" s="7">
        <v>86751</v>
      </c>
    </row>
    <row r="1345" spans="1:25" ht="12.75" customHeight="1">
      <c r="A1345">
        <v>22377</v>
      </c>
      <c r="B1345" t="s">
        <v>37</v>
      </c>
      <c r="C1345" s="4">
        <v>0.03</v>
      </c>
      <c r="D1345" s="8">
        <v>7.84</v>
      </c>
      <c r="E1345" s="4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 s="5">
        <v>0.35</v>
      </c>
      <c r="O1345" t="s">
        <v>33</v>
      </c>
      <c r="P1345" t="s">
        <v>136</v>
      </c>
      <c r="Q1345" t="s">
        <v>137</v>
      </c>
      <c r="R1345" t="s">
        <v>1449</v>
      </c>
      <c r="S1345" s="7">
        <v>23701</v>
      </c>
      <c r="T1345" s="3">
        <v>42089</v>
      </c>
      <c r="U1345" s="3">
        <v>42092</v>
      </c>
      <c r="V1345" s="4">
        <v>859.7177999999999</v>
      </c>
      <c r="W1345">
        <v>7</v>
      </c>
      <c r="X1345">
        <v>54.37</v>
      </c>
      <c r="Y1345" s="7">
        <v>86751</v>
      </c>
    </row>
    <row r="1346" spans="1:25" ht="12.75" customHeight="1">
      <c r="A1346">
        <v>25271</v>
      </c>
      <c r="B1346" t="s">
        <v>25</v>
      </c>
      <c r="C1346" s="4">
        <v>0.04</v>
      </c>
      <c r="D1346" s="8">
        <v>9.11</v>
      </c>
      <c r="E1346" s="4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 s="5">
        <v>0.4</v>
      </c>
      <c r="O1346" t="s">
        <v>33</v>
      </c>
      <c r="P1346" t="s">
        <v>136</v>
      </c>
      <c r="Q1346" t="s">
        <v>137</v>
      </c>
      <c r="R1346" t="s">
        <v>1567</v>
      </c>
      <c r="S1346" s="7">
        <v>23223</v>
      </c>
      <c r="T1346" s="3">
        <v>42130</v>
      </c>
      <c r="U1346" s="3">
        <v>42130</v>
      </c>
      <c r="V1346" s="4">
        <v>-23.072000000000003</v>
      </c>
      <c r="W1346">
        <v>11</v>
      </c>
      <c r="X1346">
        <v>100.87</v>
      </c>
      <c r="Y1346" s="7">
        <v>86752</v>
      </c>
    </row>
    <row r="1347" spans="1:25" ht="12.75" customHeight="1">
      <c r="A1347">
        <v>18802</v>
      </c>
      <c r="B1347" t="s">
        <v>37</v>
      </c>
      <c r="C1347" s="4">
        <v>0.05</v>
      </c>
      <c r="D1347" s="8">
        <v>150.97999999999999</v>
      </c>
      <c r="E1347" s="4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 s="5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 s="7">
        <v>77340</v>
      </c>
      <c r="T1347" s="3">
        <v>42148</v>
      </c>
      <c r="U1347" s="3">
        <v>42149</v>
      </c>
      <c r="V1347" s="4">
        <v>650.29999999999995</v>
      </c>
      <c r="W1347">
        <v>12</v>
      </c>
      <c r="X1347">
        <v>1857.08</v>
      </c>
      <c r="Y1347" s="7">
        <v>89053</v>
      </c>
    </row>
    <row r="1348" spans="1:25" ht="12.75" customHeight="1">
      <c r="A1348">
        <v>19817</v>
      </c>
      <c r="B1348" t="s">
        <v>56</v>
      </c>
      <c r="C1348" s="4">
        <v>0.09</v>
      </c>
      <c r="D1348" s="8">
        <v>3.89</v>
      </c>
      <c r="E1348" s="4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 s="5">
        <v>0.37</v>
      </c>
      <c r="O1348" t="s">
        <v>33</v>
      </c>
      <c r="P1348" t="s">
        <v>61</v>
      </c>
      <c r="Q1348" t="s">
        <v>130</v>
      </c>
      <c r="R1348" t="s">
        <v>2273</v>
      </c>
      <c r="S1348" s="7">
        <v>77340</v>
      </c>
      <c r="T1348" s="3">
        <v>42026</v>
      </c>
      <c r="U1348" s="3">
        <v>42028</v>
      </c>
      <c r="V1348" s="4">
        <v>-154.30700000000002</v>
      </c>
      <c r="W1348">
        <v>10</v>
      </c>
      <c r="X1348">
        <v>42.56</v>
      </c>
      <c r="Y1348" s="7">
        <v>89055</v>
      </c>
    </row>
    <row r="1349" spans="1:25" ht="12.75" customHeight="1">
      <c r="A1349">
        <v>25126</v>
      </c>
      <c r="B1349" t="s">
        <v>106</v>
      </c>
      <c r="C1349" s="4">
        <v>0.04</v>
      </c>
      <c r="D1349" s="8">
        <v>100.98</v>
      </c>
      <c r="E1349" s="4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 s="5">
        <v>0.4</v>
      </c>
      <c r="O1349" t="s">
        <v>33</v>
      </c>
      <c r="P1349" t="s">
        <v>61</v>
      </c>
      <c r="Q1349" t="s">
        <v>130</v>
      </c>
      <c r="R1349" t="s">
        <v>2276</v>
      </c>
      <c r="S1349" s="7">
        <v>76053</v>
      </c>
      <c r="T1349" s="3">
        <v>42025</v>
      </c>
      <c r="U1349" s="3">
        <v>42030</v>
      </c>
      <c r="V1349" s="4">
        <v>269.94</v>
      </c>
      <c r="W1349">
        <v>4</v>
      </c>
      <c r="X1349">
        <v>414.91</v>
      </c>
      <c r="Y1349" s="7">
        <v>89054</v>
      </c>
    </row>
    <row r="1350" spans="1:25" ht="12.75" customHeight="1">
      <c r="A1350">
        <v>21761</v>
      </c>
      <c r="B1350" t="s">
        <v>25</v>
      </c>
      <c r="C1350" s="4">
        <v>0.08</v>
      </c>
      <c r="D1350" s="8">
        <v>30.93</v>
      </c>
      <c r="E1350" s="4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 s="5">
        <v>0.44</v>
      </c>
      <c r="O1350" t="s">
        <v>33</v>
      </c>
      <c r="P1350" t="s">
        <v>61</v>
      </c>
      <c r="Q1350" t="s">
        <v>130</v>
      </c>
      <c r="R1350" t="s">
        <v>2278</v>
      </c>
      <c r="S1350" s="7">
        <v>75061</v>
      </c>
      <c r="T1350" s="3">
        <v>42078</v>
      </c>
      <c r="U1350" s="3">
        <v>42079</v>
      </c>
      <c r="V1350" s="4">
        <v>63.059099999999994</v>
      </c>
      <c r="W1350">
        <v>3</v>
      </c>
      <c r="X1350">
        <v>91.39</v>
      </c>
      <c r="Y1350" s="7">
        <v>90859</v>
      </c>
    </row>
    <row r="1351" spans="1:25" ht="12.75" customHeight="1">
      <c r="A1351">
        <v>20496</v>
      </c>
      <c r="B1351" t="s">
        <v>106</v>
      </c>
      <c r="C1351" s="4">
        <v>0.08</v>
      </c>
      <c r="D1351" s="8">
        <v>4.4800000000000004</v>
      </c>
      <c r="E1351" s="4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 s="5">
        <v>0.6</v>
      </c>
      <c r="O1351" t="s">
        <v>33</v>
      </c>
      <c r="P1351" t="s">
        <v>61</v>
      </c>
      <c r="Q1351" t="s">
        <v>130</v>
      </c>
      <c r="R1351" t="s">
        <v>2278</v>
      </c>
      <c r="S1351" s="7">
        <v>75061</v>
      </c>
      <c r="T1351" s="3">
        <v>42126</v>
      </c>
      <c r="U1351" s="3">
        <v>42126</v>
      </c>
      <c r="V1351" s="4">
        <v>139.58009999999999</v>
      </c>
      <c r="W1351">
        <v>37</v>
      </c>
      <c r="X1351">
        <v>202.29</v>
      </c>
      <c r="Y1351" s="7">
        <v>90861</v>
      </c>
    </row>
    <row r="1352" spans="1:25" ht="12.75" customHeight="1">
      <c r="A1352">
        <v>20497</v>
      </c>
      <c r="B1352" t="s">
        <v>106</v>
      </c>
      <c r="C1352" s="4">
        <v>0</v>
      </c>
      <c r="D1352" s="8">
        <v>17.670000000000002</v>
      </c>
      <c r="E1352" s="4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 s="5">
        <v>0.47</v>
      </c>
      <c r="O1352" t="s">
        <v>33</v>
      </c>
      <c r="P1352" t="s">
        <v>61</v>
      </c>
      <c r="Q1352" t="s">
        <v>130</v>
      </c>
      <c r="R1352" t="s">
        <v>2278</v>
      </c>
      <c r="S1352" s="7">
        <v>75061</v>
      </c>
      <c r="T1352" s="3">
        <v>42126</v>
      </c>
      <c r="U1352" s="3">
        <v>42133</v>
      </c>
      <c r="V1352" s="4">
        <v>109.67000000000002</v>
      </c>
      <c r="W1352">
        <v>9</v>
      </c>
      <c r="X1352">
        <v>168.71</v>
      </c>
      <c r="Y1352" s="7">
        <v>90861</v>
      </c>
    </row>
    <row r="1353" spans="1:25" ht="12.75" customHeight="1">
      <c r="A1353">
        <v>23729</v>
      </c>
      <c r="B1353" t="s">
        <v>25</v>
      </c>
      <c r="C1353" s="4">
        <v>0.03</v>
      </c>
      <c r="D1353" s="8">
        <v>40.99</v>
      </c>
      <c r="E1353" s="4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 s="5">
        <v>0.36</v>
      </c>
      <c r="O1353" t="s">
        <v>33</v>
      </c>
      <c r="P1353" t="s">
        <v>61</v>
      </c>
      <c r="Q1353" t="s">
        <v>130</v>
      </c>
      <c r="R1353" t="s">
        <v>2280</v>
      </c>
      <c r="S1353" s="7">
        <v>76248</v>
      </c>
      <c r="T1353" s="3">
        <v>42052</v>
      </c>
      <c r="U1353" s="3">
        <v>42053</v>
      </c>
      <c r="V1353" s="4">
        <v>395.30799999999999</v>
      </c>
      <c r="W1353">
        <v>21</v>
      </c>
      <c r="X1353">
        <v>885.65</v>
      </c>
      <c r="Y1353" s="7">
        <v>90860</v>
      </c>
    </row>
    <row r="1354" spans="1:25" ht="12.75" customHeight="1">
      <c r="A1354">
        <v>22562</v>
      </c>
      <c r="B1354" t="s">
        <v>37</v>
      </c>
      <c r="C1354" s="4">
        <v>0.1</v>
      </c>
      <c r="D1354" s="8">
        <v>14.28</v>
      </c>
      <c r="E1354" s="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 s="5">
        <v>0.39</v>
      </c>
      <c r="O1354" t="s">
        <v>33</v>
      </c>
      <c r="P1354" t="s">
        <v>61</v>
      </c>
      <c r="Q1354" t="s">
        <v>130</v>
      </c>
      <c r="R1354" t="s">
        <v>2282</v>
      </c>
      <c r="S1354" s="7">
        <v>76541</v>
      </c>
      <c r="T1354" s="3">
        <v>42087</v>
      </c>
      <c r="U1354" s="3">
        <v>42088</v>
      </c>
      <c r="V1354" s="4">
        <v>104.9145</v>
      </c>
      <c r="W1354">
        <v>11</v>
      </c>
      <c r="X1354">
        <v>152.05000000000001</v>
      </c>
      <c r="Y1354" s="7">
        <v>91108</v>
      </c>
    </row>
    <row r="1355" spans="1:25" ht="12.75" customHeight="1">
      <c r="A1355">
        <v>22105</v>
      </c>
      <c r="B1355" t="s">
        <v>37</v>
      </c>
      <c r="C1355" s="4">
        <v>0.04</v>
      </c>
      <c r="D1355" s="8">
        <v>7.08</v>
      </c>
      <c r="E1355" s="4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 s="5">
        <v>0.47</v>
      </c>
      <c r="O1355" t="s">
        <v>33</v>
      </c>
      <c r="P1355" t="s">
        <v>61</v>
      </c>
      <c r="Q1355" t="s">
        <v>130</v>
      </c>
      <c r="R1355" t="s">
        <v>2282</v>
      </c>
      <c r="S1355" s="7">
        <v>76541</v>
      </c>
      <c r="T1355" s="3">
        <v>42104</v>
      </c>
      <c r="U1355" s="3">
        <v>42105</v>
      </c>
      <c r="V1355" s="4">
        <v>24.59</v>
      </c>
      <c r="W1355">
        <v>7</v>
      </c>
      <c r="X1355">
        <v>49.1</v>
      </c>
      <c r="Y1355" s="7">
        <v>91109</v>
      </c>
    </row>
    <row r="1356" spans="1:25" ht="12.75" customHeight="1">
      <c r="A1356">
        <v>20731</v>
      </c>
      <c r="B1356" t="s">
        <v>106</v>
      </c>
      <c r="C1356" s="4">
        <v>0.03</v>
      </c>
      <c r="D1356" s="8">
        <v>140.99</v>
      </c>
      <c r="E1356" s="4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 s="5">
        <v>0.59</v>
      </c>
      <c r="O1356" t="s">
        <v>33</v>
      </c>
      <c r="P1356" t="s">
        <v>61</v>
      </c>
      <c r="Q1356" t="s">
        <v>130</v>
      </c>
      <c r="R1356" t="s">
        <v>2282</v>
      </c>
      <c r="S1356" s="7">
        <v>76541</v>
      </c>
      <c r="T1356" s="3">
        <v>42092</v>
      </c>
      <c r="U1356" s="3">
        <v>42100</v>
      </c>
      <c r="V1356" s="4">
        <v>-458.74400000000003</v>
      </c>
      <c r="W1356">
        <v>2</v>
      </c>
      <c r="X1356">
        <v>246.44</v>
      </c>
      <c r="Y1356" s="7">
        <v>91110</v>
      </c>
    </row>
    <row r="1357" spans="1:25" ht="12.75" customHeight="1">
      <c r="A1357">
        <v>3490</v>
      </c>
      <c r="B1357" t="s">
        <v>37</v>
      </c>
      <c r="C1357" s="4">
        <v>0.05</v>
      </c>
      <c r="D1357" s="8">
        <v>8.85</v>
      </c>
      <c r="E1357" s="4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 s="5">
        <v>0.36</v>
      </c>
      <c r="O1357" t="s">
        <v>33</v>
      </c>
      <c r="P1357" t="s">
        <v>34</v>
      </c>
      <c r="Q1357" t="s">
        <v>45</v>
      </c>
      <c r="R1357" t="s">
        <v>663</v>
      </c>
      <c r="S1357" s="7">
        <v>90004</v>
      </c>
      <c r="T1357" s="3">
        <v>42165</v>
      </c>
      <c r="U1357" s="3">
        <v>42166</v>
      </c>
      <c r="V1357" s="4">
        <v>-9.1769999999999996</v>
      </c>
      <c r="W1357">
        <v>21</v>
      </c>
      <c r="X1357">
        <v>199.08</v>
      </c>
      <c r="Y1357" s="7">
        <v>24869</v>
      </c>
    </row>
    <row r="1358" spans="1:25" ht="12.75" customHeight="1">
      <c r="A1358">
        <v>819</v>
      </c>
      <c r="B1358" t="s">
        <v>25</v>
      </c>
      <c r="C1358" s="4">
        <v>7.0000000000000007E-2</v>
      </c>
      <c r="D1358" s="8">
        <v>155.06</v>
      </c>
      <c r="E1358" s="4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 s="5">
        <v>0.59</v>
      </c>
      <c r="O1358" t="s">
        <v>33</v>
      </c>
      <c r="P1358" t="s">
        <v>34</v>
      </c>
      <c r="Q1358" t="s">
        <v>45</v>
      </c>
      <c r="R1358" t="s">
        <v>663</v>
      </c>
      <c r="S1358" s="7">
        <v>90004</v>
      </c>
      <c r="T1358" s="3">
        <v>42143</v>
      </c>
      <c r="U1358" s="3">
        <v>42143</v>
      </c>
      <c r="V1358" s="4">
        <v>-121.75</v>
      </c>
      <c r="W1358">
        <v>14</v>
      </c>
      <c r="X1358">
        <v>2039.07</v>
      </c>
      <c r="Y1358" s="7">
        <v>5920</v>
      </c>
    </row>
    <row r="1359" spans="1:25" ht="12.75" customHeight="1">
      <c r="A1359">
        <v>18819</v>
      </c>
      <c r="B1359" t="s">
        <v>25</v>
      </c>
      <c r="C1359" s="4">
        <v>7.0000000000000007E-2</v>
      </c>
      <c r="D1359" s="8">
        <v>155.06</v>
      </c>
      <c r="E1359" s="4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 s="5">
        <v>0.59</v>
      </c>
      <c r="O1359" t="s">
        <v>33</v>
      </c>
      <c r="P1359" t="s">
        <v>61</v>
      </c>
      <c r="Q1359" t="s">
        <v>304</v>
      </c>
      <c r="R1359" t="s">
        <v>2287</v>
      </c>
      <c r="S1359" s="7">
        <v>73110</v>
      </c>
      <c r="T1359" s="3">
        <v>42143</v>
      </c>
      <c r="U1359" s="3">
        <v>42143</v>
      </c>
      <c r="V1359" s="4">
        <v>24.350000000000023</v>
      </c>
      <c r="W1359">
        <v>3</v>
      </c>
      <c r="X1359">
        <v>436.94</v>
      </c>
      <c r="Y1359" s="7">
        <v>89096</v>
      </c>
    </row>
    <row r="1360" spans="1:25" ht="12.75" customHeight="1">
      <c r="A1360">
        <v>20286</v>
      </c>
      <c r="B1360" t="s">
        <v>37</v>
      </c>
      <c r="C1360" s="4">
        <v>0.09</v>
      </c>
      <c r="D1360" s="8">
        <v>5.4</v>
      </c>
      <c r="E1360" s="4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 s="5">
        <v>0.37</v>
      </c>
      <c r="O1360" t="s">
        <v>33</v>
      </c>
      <c r="P1360" t="s">
        <v>61</v>
      </c>
      <c r="Q1360" t="s">
        <v>304</v>
      </c>
      <c r="R1360" t="s">
        <v>2287</v>
      </c>
      <c r="S1360" s="7">
        <v>73110</v>
      </c>
      <c r="T1360" s="3">
        <v>42161</v>
      </c>
      <c r="U1360" s="3">
        <v>42163</v>
      </c>
      <c r="V1360" s="4">
        <v>-34.764499999999998</v>
      </c>
      <c r="W1360">
        <v>6</v>
      </c>
      <c r="X1360">
        <v>37.380000000000003</v>
      </c>
      <c r="Y1360" s="7">
        <v>89097</v>
      </c>
    </row>
    <row r="1361" spans="1:25" ht="12.75" customHeight="1">
      <c r="A1361">
        <v>21490</v>
      </c>
      <c r="B1361" t="s">
        <v>37</v>
      </c>
      <c r="C1361" s="4">
        <v>0.05</v>
      </c>
      <c r="D1361" s="8">
        <v>8.85</v>
      </c>
      <c r="E1361" s="4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 s="5">
        <v>0.36</v>
      </c>
      <c r="O1361" t="s">
        <v>33</v>
      </c>
      <c r="P1361" t="s">
        <v>61</v>
      </c>
      <c r="Q1361" t="s">
        <v>304</v>
      </c>
      <c r="R1361" t="s">
        <v>2289</v>
      </c>
      <c r="S1361" s="7">
        <v>73160</v>
      </c>
      <c r="T1361" s="3">
        <v>42165</v>
      </c>
      <c r="U1361" s="3">
        <v>42166</v>
      </c>
      <c r="V1361" s="4">
        <v>-7.3415999999999997</v>
      </c>
      <c r="W1361">
        <v>5</v>
      </c>
      <c r="X1361">
        <v>47.4</v>
      </c>
      <c r="Y1361" s="7">
        <v>89095</v>
      </c>
    </row>
    <row r="1362" spans="1:25" ht="12.75" customHeight="1">
      <c r="A1362">
        <v>19566</v>
      </c>
      <c r="B1362" t="s">
        <v>106</v>
      </c>
      <c r="C1362" s="4">
        <v>0.09</v>
      </c>
      <c r="D1362" s="8">
        <v>90.97</v>
      </c>
      <c r="E1362" s="4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 s="5">
        <v>0.36</v>
      </c>
      <c r="O1362" t="s">
        <v>33</v>
      </c>
      <c r="P1362" t="s">
        <v>61</v>
      </c>
      <c r="Q1362" t="s">
        <v>1858</v>
      </c>
      <c r="R1362" t="s">
        <v>2291</v>
      </c>
      <c r="S1362" s="7">
        <v>53150</v>
      </c>
      <c r="T1362" s="3">
        <v>42064</v>
      </c>
      <c r="U1362" s="3">
        <v>42066</v>
      </c>
      <c r="V1362" s="4">
        <v>35.290000000000049</v>
      </c>
      <c r="W1362">
        <v>3</v>
      </c>
      <c r="X1362">
        <v>260</v>
      </c>
      <c r="Y1362" s="7">
        <v>90301</v>
      </c>
    </row>
    <row r="1363" spans="1:25" ht="12.75" customHeight="1">
      <c r="A1363">
        <v>20157</v>
      </c>
      <c r="B1363" t="s">
        <v>56</v>
      </c>
      <c r="C1363" s="4">
        <v>0.02</v>
      </c>
      <c r="D1363" s="8">
        <v>63.94</v>
      </c>
      <c r="E1363" s="4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 s="5">
        <v>0.46</v>
      </c>
      <c r="O1363" t="s">
        <v>33</v>
      </c>
      <c r="P1363" t="s">
        <v>136</v>
      </c>
      <c r="Q1363" t="s">
        <v>362</v>
      </c>
      <c r="R1363" t="s">
        <v>2293</v>
      </c>
      <c r="S1363" s="7">
        <v>32935</v>
      </c>
      <c r="T1363" s="3">
        <v>42098</v>
      </c>
      <c r="U1363" s="3">
        <v>42098</v>
      </c>
      <c r="V1363" s="4">
        <v>-100.17</v>
      </c>
      <c r="W1363">
        <v>11</v>
      </c>
      <c r="X1363">
        <v>709.7</v>
      </c>
      <c r="Y1363" s="7">
        <v>89300</v>
      </c>
    </row>
    <row r="1364" spans="1:25" ht="12.75" customHeight="1">
      <c r="A1364">
        <v>20158</v>
      </c>
      <c r="B1364" t="s">
        <v>56</v>
      </c>
      <c r="C1364" s="4">
        <v>0.01</v>
      </c>
      <c r="D1364" s="8">
        <v>5.0199999999999996</v>
      </c>
      <c r="E1364" s="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 s="5">
        <v>0.79</v>
      </c>
      <c r="O1364" t="s">
        <v>33</v>
      </c>
      <c r="P1364" t="s">
        <v>136</v>
      </c>
      <c r="Q1364" t="s">
        <v>362</v>
      </c>
      <c r="R1364" t="s">
        <v>2295</v>
      </c>
      <c r="S1364" s="7">
        <v>32953</v>
      </c>
      <c r="T1364" s="3">
        <v>42098</v>
      </c>
      <c r="U1364" s="3">
        <v>42100</v>
      </c>
      <c r="V1364" s="4">
        <v>-3.9479999999999995</v>
      </c>
      <c r="W1364">
        <v>5</v>
      </c>
      <c r="X1364">
        <v>27.42</v>
      </c>
      <c r="Y1364" s="7">
        <v>89300</v>
      </c>
    </row>
    <row r="1365" spans="1:25" ht="12.75" customHeight="1">
      <c r="A1365">
        <v>21084</v>
      </c>
      <c r="B1365" t="s">
        <v>25</v>
      </c>
      <c r="C1365" s="4">
        <v>0.05</v>
      </c>
      <c r="D1365" s="8">
        <v>58.1</v>
      </c>
      <c r="E1365" s="4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 s="5">
        <v>0.38</v>
      </c>
      <c r="O1365" t="s">
        <v>33</v>
      </c>
      <c r="P1365" t="s">
        <v>136</v>
      </c>
      <c r="Q1365" t="s">
        <v>362</v>
      </c>
      <c r="R1365" t="s">
        <v>447</v>
      </c>
      <c r="S1365" s="7">
        <v>33142</v>
      </c>
      <c r="T1365" s="3">
        <v>42022</v>
      </c>
      <c r="U1365" s="3">
        <v>42022</v>
      </c>
      <c r="V1365" s="4">
        <v>1633.9859999999999</v>
      </c>
      <c r="W1365">
        <v>13</v>
      </c>
      <c r="X1365">
        <v>739.06</v>
      </c>
      <c r="Y1365" s="7">
        <v>89299</v>
      </c>
    </row>
    <row r="1366" spans="1:25" ht="12.75" customHeight="1">
      <c r="A1366">
        <v>25304</v>
      </c>
      <c r="B1366" t="s">
        <v>37</v>
      </c>
      <c r="C1366" s="4">
        <v>0.06</v>
      </c>
      <c r="D1366" s="8">
        <v>2.2799999999999998</v>
      </c>
      <c r="E1366" s="4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 s="5">
        <v>0.41</v>
      </c>
      <c r="O1366" t="s">
        <v>33</v>
      </c>
      <c r="P1366" t="s">
        <v>136</v>
      </c>
      <c r="Q1366" t="s">
        <v>362</v>
      </c>
      <c r="R1366" t="s">
        <v>447</v>
      </c>
      <c r="S1366" s="7">
        <v>33142</v>
      </c>
      <c r="T1366" s="3">
        <v>42156</v>
      </c>
      <c r="U1366" s="3">
        <v>42158</v>
      </c>
      <c r="V1366" s="4">
        <v>-2002.6314000000002</v>
      </c>
      <c r="W1366">
        <v>13</v>
      </c>
      <c r="X1366">
        <v>30.47</v>
      </c>
      <c r="Y1366" s="7">
        <v>89301</v>
      </c>
    </row>
    <row r="1367" spans="1:25" ht="12.75" customHeight="1">
      <c r="A1367">
        <v>25742</v>
      </c>
      <c r="B1367" t="s">
        <v>25</v>
      </c>
      <c r="C1367" s="4">
        <v>0.09</v>
      </c>
      <c r="D1367" s="8">
        <v>6.48</v>
      </c>
      <c r="E1367" s="4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 s="5">
        <v>0.37</v>
      </c>
      <c r="O1367" t="s">
        <v>33</v>
      </c>
      <c r="P1367" t="s">
        <v>61</v>
      </c>
      <c r="Q1367" t="s">
        <v>62</v>
      </c>
      <c r="R1367" t="s">
        <v>2299</v>
      </c>
      <c r="S1367" s="7">
        <v>55410</v>
      </c>
      <c r="T1367" s="3">
        <v>42184</v>
      </c>
      <c r="U1367" s="3">
        <v>42186</v>
      </c>
      <c r="V1367" s="4">
        <v>-126.208</v>
      </c>
      <c r="W1367">
        <v>16</v>
      </c>
      <c r="X1367">
        <v>96.96</v>
      </c>
      <c r="Y1367" s="7">
        <v>87790</v>
      </c>
    </row>
    <row r="1368" spans="1:25" ht="12.75" customHeight="1">
      <c r="A1368">
        <v>20687</v>
      </c>
      <c r="B1368" t="s">
        <v>37</v>
      </c>
      <c r="C1368" s="4">
        <v>0.08</v>
      </c>
      <c r="D1368" s="8">
        <v>4.13</v>
      </c>
      <c r="E1368" s="4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 s="5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 s="7">
        <v>53545</v>
      </c>
      <c r="T1368" s="3">
        <v>42147</v>
      </c>
      <c r="U1368" s="3">
        <v>42149</v>
      </c>
      <c r="V1368" s="4">
        <v>-5.54</v>
      </c>
      <c r="W1368">
        <v>1</v>
      </c>
      <c r="X1368">
        <v>4.21</v>
      </c>
      <c r="Y1368" s="7">
        <v>90322</v>
      </c>
    </row>
    <row r="1369" spans="1:25" ht="12.75" customHeight="1">
      <c r="A1369">
        <v>21198</v>
      </c>
      <c r="B1369" t="s">
        <v>56</v>
      </c>
      <c r="C1369" s="4">
        <v>0.06</v>
      </c>
      <c r="D1369" s="8">
        <v>3499.99</v>
      </c>
      <c r="E1369" s="4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 s="5">
        <v>0.37</v>
      </c>
      <c r="O1369" t="s">
        <v>33</v>
      </c>
      <c r="P1369" t="s">
        <v>136</v>
      </c>
      <c r="Q1369" t="s">
        <v>1278</v>
      </c>
      <c r="R1369" t="s">
        <v>2304</v>
      </c>
      <c r="S1369" s="7">
        <v>35244</v>
      </c>
      <c r="T1369" s="3">
        <v>42064</v>
      </c>
      <c r="U1369" s="3">
        <v>42067</v>
      </c>
      <c r="V1369" s="4">
        <v>-68.432000000000002</v>
      </c>
      <c r="W1369">
        <v>1</v>
      </c>
      <c r="X1369">
        <v>3550.28</v>
      </c>
      <c r="Y1369" s="7">
        <v>89219</v>
      </c>
    </row>
    <row r="1370" spans="1:25" ht="12.75" customHeight="1">
      <c r="A1370">
        <v>25536</v>
      </c>
      <c r="B1370" t="s">
        <v>25</v>
      </c>
      <c r="C1370" s="4">
        <v>7.0000000000000007E-2</v>
      </c>
      <c r="D1370" s="8">
        <v>179.99</v>
      </c>
      <c r="E1370" s="4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 s="5">
        <v>0.48</v>
      </c>
      <c r="O1370" t="s">
        <v>33</v>
      </c>
      <c r="P1370" t="s">
        <v>136</v>
      </c>
      <c r="Q1370" t="s">
        <v>1278</v>
      </c>
      <c r="R1370" t="s">
        <v>2306</v>
      </c>
      <c r="S1370" s="7">
        <v>36608</v>
      </c>
      <c r="T1370" s="3">
        <v>42026</v>
      </c>
      <c r="U1370" s="3">
        <v>42027</v>
      </c>
      <c r="V1370" s="4">
        <v>733.2822000000001</v>
      </c>
      <c r="W1370">
        <v>7</v>
      </c>
      <c r="X1370">
        <v>1188.6300000000001</v>
      </c>
      <c r="Y1370" s="7">
        <v>89218</v>
      </c>
    </row>
    <row r="1371" spans="1:25" ht="12.75" customHeight="1">
      <c r="A1371">
        <v>25537</v>
      </c>
      <c r="B1371" t="s">
        <v>25</v>
      </c>
      <c r="C1371" s="4">
        <v>0.02</v>
      </c>
      <c r="D1371" s="8">
        <v>92.23</v>
      </c>
      <c r="E1371" s="4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 s="5">
        <v>0.67</v>
      </c>
      <c r="O1371" t="s">
        <v>33</v>
      </c>
      <c r="P1371" t="s">
        <v>136</v>
      </c>
      <c r="Q1371" t="s">
        <v>1278</v>
      </c>
      <c r="R1371" t="s">
        <v>2306</v>
      </c>
      <c r="S1371" s="7">
        <v>36608</v>
      </c>
      <c r="T1371" s="3">
        <v>42026</v>
      </c>
      <c r="U1371" s="3">
        <v>42027</v>
      </c>
      <c r="V1371" s="4">
        <v>-905.99039999999991</v>
      </c>
      <c r="W1371">
        <v>11</v>
      </c>
      <c r="X1371">
        <v>1009.93</v>
      </c>
      <c r="Y1371" s="7">
        <v>89218</v>
      </c>
    </row>
    <row r="1372" spans="1:25" ht="12.75" customHeight="1">
      <c r="A1372">
        <v>25535</v>
      </c>
      <c r="B1372" t="s">
        <v>25</v>
      </c>
      <c r="C1372" s="4">
        <v>0.02</v>
      </c>
      <c r="D1372" s="8">
        <v>15.22</v>
      </c>
      <c r="E1372" s="4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 s="5">
        <v>0.36</v>
      </c>
      <c r="O1372" t="s">
        <v>33</v>
      </c>
      <c r="P1372" t="s">
        <v>61</v>
      </c>
      <c r="Q1372" t="s">
        <v>62</v>
      </c>
      <c r="R1372" t="s">
        <v>2310</v>
      </c>
      <c r="S1372" s="7">
        <v>55014</v>
      </c>
      <c r="T1372" s="3">
        <v>42026</v>
      </c>
      <c r="U1372" s="3">
        <v>42026</v>
      </c>
      <c r="V1372" s="4">
        <v>-21.63242</v>
      </c>
      <c r="W1372">
        <v>9</v>
      </c>
      <c r="X1372">
        <v>140.69999999999999</v>
      </c>
      <c r="Y1372" s="7">
        <v>89218</v>
      </c>
    </row>
    <row r="1373" spans="1:25" ht="12.75" customHeight="1">
      <c r="A1373">
        <v>22321</v>
      </c>
      <c r="B1373" t="s">
        <v>25</v>
      </c>
      <c r="C1373" s="4">
        <v>0.03</v>
      </c>
      <c r="D1373" s="8">
        <v>6.48</v>
      </c>
      <c r="E1373" s="4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 s="5">
        <v>0.37</v>
      </c>
      <c r="O1373" t="s">
        <v>33</v>
      </c>
      <c r="P1373" t="s">
        <v>61</v>
      </c>
      <c r="Q1373" t="s">
        <v>62</v>
      </c>
      <c r="R1373" t="s">
        <v>2299</v>
      </c>
      <c r="S1373" s="7">
        <v>55410</v>
      </c>
      <c r="T1373" s="3">
        <v>42007</v>
      </c>
      <c r="U1373" s="3">
        <v>42009</v>
      </c>
      <c r="V1373" s="4">
        <v>-35.04</v>
      </c>
      <c r="W1373">
        <v>2</v>
      </c>
      <c r="X1373">
        <v>15.95</v>
      </c>
      <c r="Y1373" s="7">
        <v>91285</v>
      </c>
    </row>
    <row r="1374" spans="1:25" ht="12.75" customHeight="1">
      <c r="A1374">
        <v>21190</v>
      </c>
      <c r="B1374" t="s">
        <v>56</v>
      </c>
      <c r="C1374" s="4">
        <v>0.05</v>
      </c>
      <c r="D1374" s="8">
        <v>12.88</v>
      </c>
      <c r="E1374" s="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 s="5">
        <v>0.82</v>
      </c>
      <c r="O1374" t="s">
        <v>33</v>
      </c>
      <c r="P1374" t="s">
        <v>61</v>
      </c>
      <c r="Q1374" t="s">
        <v>62</v>
      </c>
      <c r="R1374" t="s">
        <v>2299</v>
      </c>
      <c r="S1374" s="7">
        <v>55410</v>
      </c>
      <c r="T1374" s="3">
        <v>42147</v>
      </c>
      <c r="U1374" s="3">
        <v>42149</v>
      </c>
      <c r="V1374" s="4">
        <v>5.980000000000004</v>
      </c>
      <c r="W1374">
        <v>3</v>
      </c>
      <c r="X1374">
        <v>42.35</v>
      </c>
      <c r="Y1374" s="7">
        <v>91286</v>
      </c>
    </row>
    <row r="1375" spans="1:25" ht="12.75" customHeight="1">
      <c r="A1375">
        <v>4321</v>
      </c>
      <c r="B1375" t="s">
        <v>25</v>
      </c>
      <c r="C1375" s="4">
        <v>0.03</v>
      </c>
      <c r="D1375" s="8">
        <v>6.48</v>
      </c>
      <c r="E1375" s="4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 s="5">
        <v>0.37</v>
      </c>
      <c r="O1375" t="s">
        <v>33</v>
      </c>
      <c r="P1375" t="s">
        <v>53</v>
      </c>
      <c r="Q1375" t="s">
        <v>71</v>
      </c>
      <c r="R1375" t="s">
        <v>90</v>
      </c>
      <c r="S1375" s="7">
        <v>10035</v>
      </c>
      <c r="T1375" s="3">
        <v>42007</v>
      </c>
      <c r="U1375" s="3">
        <v>42009</v>
      </c>
      <c r="V1375" s="4">
        <v>-35.04</v>
      </c>
      <c r="W1375">
        <v>8</v>
      </c>
      <c r="X1375">
        <v>63.78</v>
      </c>
      <c r="Y1375" s="7">
        <v>30785</v>
      </c>
    </row>
    <row r="1376" spans="1:25" ht="12.75" customHeight="1">
      <c r="A1376">
        <v>4322</v>
      </c>
      <c r="B1376" t="s">
        <v>25</v>
      </c>
      <c r="C1376" s="4">
        <v>7.0000000000000007E-2</v>
      </c>
      <c r="D1376" s="8">
        <v>9.93</v>
      </c>
      <c r="E1376" s="4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 s="5">
        <v>0.43</v>
      </c>
      <c r="O1376" t="s">
        <v>33</v>
      </c>
      <c r="P1376" t="s">
        <v>53</v>
      </c>
      <c r="Q1376" t="s">
        <v>71</v>
      </c>
      <c r="R1376" t="s">
        <v>90</v>
      </c>
      <c r="S1376" s="7">
        <v>10035</v>
      </c>
      <c r="T1376" s="3">
        <v>42007</v>
      </c>
      <c r="U1376" s="3">
        <v>42010</v>
      </c>
      <c r="V1376" s="4">
        <v>149.53</v>
      </c>
      <c r="W1376">
        <v>46</v>
      </c>
      <c r="X1376">
        <v>451.61</v>
      </c>
      <c r="Y1376" s="7">
        <v>30785</v>
      </c>
    </row>
    <row r="1377" spans="1:25" ht="12.75" customHeight="1">
      <c r="A1377">
        <v>25859</v>
      </c>
      <c r="B1377" t="s">
        <v>25</v>
      </c>
      <c r="C1377" s="4">
        <v>0.09</v>
      </c>
      <c r="D1377" s="8">
        <v>1.74</v>
      </c>
      <c r="E1377" s="4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 s="5">
        <v>0.53</v>
      </c>
      <c r="O1377" t="s">
        <v>33</v>
      </c>
      <c r="P1377" t="s">
        <v>136</v>
      </c>
      <c r="Q1377" t="s">
        <v>171</v>
      </c>
      <c r="R1377" t="s">
        <v>2316</v>
      </c>
      <c r="S1377" s="7">
        <v>71111</v>
      </c>
      <c r="T1377" s="3">
        <v>42135</v>
      </c>
      <c r="U1377" s="3">
        <v>42137</v>
      </c>
      <c r="V1377" s="4">
        <v>608.26199999999994</v>
      </c>
      <c r="W1377">
        <v>4</v>
      </c>
      <c r="X1377">
        <v>10.41</v>
      </c>
      <c r="Y1377" s="7">
        <v>88713</v>
      </c>
    </row>
    <row r="1378" spans="1:25" ht="12.75" customHeight="1">
      <c r="A1378">
        <v>25860</v>
      </c>
      <c r="B1378" t="s">
        <v>25</v>
      </c>
      <c r="C1378" s="4">
        <v>0.08</v>
      </c>
      <c r="D1378" s="8">
        <v>227.55</v>
      </c>
      <c r="E1378" s="4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 s="5">
        <v>0.68</v>
      </c>
      <c r="O1378" t="s">
        <v>33</v>
      </c>
      <c r="P1378" t="s">
        <v>136</v>
      </c>
      <c r="Q1378" t="s">
        <v>171</v>
      </c>
      <c r="R1378" t="s">
        <v>2316</v>
      </c>
      <c r="S1378" s="7">
        <v>71111</v>
      </c>
      <c r="T1378" s="3">
        <v>42135</v>
      </c>
      <c r="U1378" s="3">
        <v>42135</v>
      </c>
      <c r="V1378" s="4">
        <v>-570.16960000000006</v>
      </c>
      <c r="W1378">
        <v>16</v>
      </c>
      <c r="X1378">
        <v>2849.64</v>
      </c>
      <c r="Y1378" s="7">
        <v>88713</v>
      </c>
    </row>
    <row r="1379" spans="1:25" ht="12.75" customHeight="1">
      <c r="A1379">
        <v>25807</v>
      </c>
      <c r="B1379" t="s">
        <v>37</v>
      </c>
      <c r="C1379" s="4">
        <v>0.05</v>
      </c>
      <c r="D1379" s="8">
        <v>6.28</v>
      </c>
      <c r="E1379" s="4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 s="5">
        <v>0.4</v>
      </c>
      <c r="O1379" t="s">
        <v>33</v>
      </c>
      <c r="P1379" t="s">
        <v>136</v>
      </c>
      <c r="Q1379" t="s">
        <v>171</v>
      </c>
      <c r="R1379" t="s">
        <v>2316</v>
      </c>
      <c r="S1379" s="7">
        <v>71111</v>
      </c>
      <c r="T1379" s="3">
        <v>42024</v>
      </c>
      <c r="U1379" s="3">
        <v>42027</v>
      </c>
      <c r="V1379" s="4">
        <v>1.278</v>
      </c>
      <c r="W1379">
        <v>6</v>
      </c>
      <c r="X1379">
        <v>38.04</v>
      </c>
      <c r="Y1379" s="7">
        <v>88714</v>
      </c>
    </row>
    <row r="1380" spans="1:25" ht="12.75" customHeight="1">
      <c r="A1380">
        <v>25808</v>
      </c>
      <c r="B1380" t="s">
        <v>37</v>
      </c>
      <c r="C1380" s="4">
        <v>0.04</v>
      </c>
      <c r="D1380" s="8">
        <v>3.08</v>
      </c>
      <c r="E1380" s="4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 s="5">
        <v>0.37</v>
      </c>
      <c r="O1380" t="s">
        <v>33</v>
      </c>
      <c r="P1380" t="s">
        <v>136</v>
      </c>
      <c r="Q1380" t="s">
        <v>171</v>
      </c>
      <c r="R1380" t="s">
        <v>2316</v>
      </c>
      <c r="S1380" s="7">
        <v>71111</v>
      </c>
      <c r="T1380" s="3">
        <v>42024</v>
      </c>
      <c r="U1380" s="3">
        <v>42025</v>
      </c>
      <c r="V1380" s="4">
        <v>424.28999999999996</v>
      </c>
      <c r="W1380">
        <v>14</v>
      </c>
      <c r="X1380">
        <v>42.53</v>
      </c>
      <c r="Y1380" s="7">
        <v>88714</v>
      </c>
    </row>
    <row r="1381" spans="1:25" ht="12.75" customHeight="1">
      <c r="A1381">
        <v>22580</v>
      </c>
      <c r="B1381" t="s">
        <v>56</v>
      </c>
      <c r="C1381" s="4">
        <v>0.04</v>
      </c>
      <c r="D1381" s="8">
        <v>2.08</v>
      </c>
      <c r="E1381" s="4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 s="5">
        <v>0.36</v>
      </c>
      <c r="O1381" t="s">
        <v>33</v>
      </c>
      <c r="P1381" t="s">
        <v>61</v>
      </c>
      <c r="Q1381" t="s">
        <v>300</v>
      </c>
      <c r="R1381" t="s">
        <v>2320</v>
      </c>
      <c r="S1381" s="7">
        <v>49783</v>
      </c>
      <c r="T1381" s="3">
        <v>42062</v>
      </c>
      <c r="U1381" s="3">
        <v>42063</v>
      </c>
      <c r="V1381" s="4">
        <v>-3.71956</v>
      </c>
      <c r="W1381">
        <v>7</v>
      </c>
      <c r="X1381">
        <v>14.77</v>
      </c>
      <c r="Y1381" s="7">
        <v>88136</v>
      </c>
    </row>
    <row r="1382" spans="1:25" ht="12.75" customHeight="1">
      <c r="A1382">
        <v>22582</v>
      </c>
      <c r="B1382" t="s">
        <v>56</v>
      </c>
      <c r="C1382" s="4">
        <v>0.02</v>
      </c>
      <c r="D1382" s="8">
        <v>53.98</v>
      </c>
      <c r="E1382" s="4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 s="5">
        <v>0.62</v>
      </c>
      <c r="O1382" t="s">
        <v>33</v>
      </c>
      <c r="P1382" t="s">
        <v>61</v>
      </c>
      <c r="Q1382" t="s">
        <v>300</v>
      </c>
      <c r="R1382" t="s">
        <v>2320</v>
      </c>
      <c r="S1382" s="7">
        <v>49783</v>
      </c>
      <c r="T1382" s="3">
        <v>42062</v>
      </c>
      <c r="U1382" s="3">
        <v>42063</v>
      </c>
      <c r="V1382" s="4">
        <v>101.97200000000001</v>
      </c>
      <c r="W1382">
        <v>8</v>
      </c>
      <c r="X1382">
        <v>438.33</v>
      </c>
      <c r="Y1382" s="7">
        <v>88136</v>
      </c>
    </row>
    <row r="1383" spans="1:25" ht="12.75" customHeight="1">
      <c r="A1383">
        <v>22583</v>
      </c>
      <c r="B1383" t="s">
        <v>56</v>
      </c>
      <c r="C1383" s="4">
        <v>0.05</v>
      </c>
      <c r="D1383" s="8">
        <v>4.9800000000000004</v>
      </c>
      <c r="E1383" s="4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 s="5">
        <v>0.38</v>
      </c>
      <c r="O1383" t="s">
        <v>33</v>
      </c>
      <c r="P1383" t="s">
        <v>61</v>
      </c>
      <c r="Q1383" t="s">
        <v>300</v>
      </c>
      <c r="R1383" t="s">
        <v>2320</v>
      </c>
      <c r="S1383" s="7">
        <v>49783</v>
      </c>
      <c r="T1383" s="3">
        <v>42062</v>
      </c>
      <c r="U1383" s="3">
        <v>42062</v>
      </c>
      <c r="V1383" s="4">
        <v>-16.634799999999998</v>
      </c>
      <c r="W1383">
        <v>7</v>
      </c>
      <c r="X1383">
        <v>38.11</v>
      </c>
      <c r="Y1383" s="7">
        <v>88136</v>
      </c>
    </row>
    <row r="1384" spans="1:25" ht="12.75" customHeight="1">
      <c r="A1384">
        <v>19766</v>
      </c>
      <c r="B1384" t="s">
        <v>47</v>
      </c>
      <c r="C1384" s="4">
        <v>0.09</v>
      </c>
      <c r="D1384" s="8">
        <v>58.1</v>
      </c>
      <c r="E1384" s="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 s="5">
        <v>0.38</v>
      </c>
      <c r="O1384" t="s">
        <v>33</v>
      </c>
      <c r="P1384" t="s">
        <v>136</v>
      </c>
      <c r="Q1384" t="s">
        <v>322</v>
      </c>
      <c r="R1384" t="s">
        <v>2324</v>
      </c>
      <c r="S1384" s="7">
        <v>28144</v>
      </c>
      <c r="T1384" s="3">
        <v>42121</v>
      </c>
      <c r="U1384" s="3">
        <v>42123</v>
      </c>
      <c r="V1384" s="4">
        <v>765.75</v>
      </c>
      <c r="W1384">
        <v>3</v>
      </c>
      <c r="X1384">
        <v>169.46</v>
      </c>
      <c r="Y1384" s="7">
        <v>88135</v>
      </c>
    </row>
    <row r="1385" spans="1:25" ht="12.75" customHeight="1">
      <c r="A1385">
        <v>18684</v>
      </c>
      <c r="B1385" t="s">
        <v>47</v>
      </c>
      <c r="C1385" s="4">
        <v>0.04</v>
      </c>
      <c r="D1385" s="8">
        <v>65.989999999999995</v>
      </c>
      <c r="E1385" s="4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 s="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 s="7">
        <v>28144</v>
      </c>
      <c r="T1385" s="3">
        <v>42076</v>
      </c>
      <c r="U1385" s="3">
        <v>42077</v>
      </c>
      <c r="V1385" s="4">
        <v>-335.041</v>
      </c>
      <c r="W1385">
        <v>13</v>
      </c>
      <c r="X1385">
        <v>724.57</v>
      </c>
      <c r="Y1385" s="7">
        <v>88137</v>
      </c>
    </row>
    <row r="1386" spans="1:25" ht="12.75" customHeight="1">
      <c r="A1386">
        <v>26057</v>
      </c>
      <c r="B1386" t="s">
        <v>106</v>
      </c>
      <c r="C1386" s="4">
        <v>0.1</v>
      </c>
      <c r="D1386" s="8">
        <v>4.91</v>
      </c>
      <c r="E1386" s="4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 s="5">
        <v>0.36</v>
      </c>
      <c r="O1386" t="s">
        <v>33</v>
      </c>
      <c r="P1386" t="s">
        <v>61</v>
      </c>
      <c r="Q1386" t="s">
        <v>178</v>
      </c>
      <c r="R1386" t="s">
        <v>2326</v>
      </c>
      <c r="S1386" s="7">
        <v>60432</v>
      </c>
      <c r="T1386" s="3">
        <v>42056</v>
      </c>
      <c r="U1386" s="3">
        <v>42056</v>
      </c>
      <c r="V1386" s="4">
        <v>35.279699999999998</v>
      </c>
      <c r="W1386">
        <v>10</v>
      </c>
      <c r="X1386">
        <v>51.13</v>
      </c>
      <c r="Y1386" s="7">
        <v>86514</v>
      </c>
    </row>
    <row r="1387" spans="1:25" ht="12.75" customHeight="1">
      <c r="A1387">
        <v>24584</v>
      </c>
      <c r="B1387" t="s">
        <v>47</v>
      </c>
      <c r="C1387" s="4">
        <v>7.0000000000000007E-2</v>
      </c>
      <c r="D1387" s="8">
        <v>5.18</v>
      </c>
      <c r="E1387" s="4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 s="5">
        <v>0.36</v>
      </c>
      <c r="O1387" t="s">
        <v>33</v>
      </c>
      <c r="P1387" t="s">
        <v>136</v>
      </c>
      <c r="Q1387" t="s">
        <v>171</v>
      </c>
      <c r="R1387" t="s">
        <v>1479</v>
      </c>
      <c r="S1387" s="7">
        <v>70506</v>
      </c>
      <c r="T1387" s="3">
        <v>42100</v>
      </c>
      <c r="U1387" s="3">
        <v>42102</v>
      </c>
      <c r="V1387" s="4">
        <v>-188.03399999999999</v>
      </c>
      <c r="W1387">
        <v>14</v>
      </c>
      <c r="X1387">
        <v>79.61</v>
      </c>
      <c r="Y1387" s="7">
        <v>91000</v>
      </c>
    </row>
    <row r="1388" spans="1:25" ht="12.75" customHeight="1">
      <c r="A1388">
        <v>24568</v>
      </c>
      <c r="B1388" t="s">
        <v>56</v>
      </c>
      <c r="C1388" s="4">
        <v>0.05</v>
      </c>
      <c r="D1388" s="8">
        <v>6.48</v>
      </c>
      <c r="E1388" s="4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 s="5">
        <v>0.37</v>
      </c>
      <c r="O1388" t="s">
        <v>33</v>
      </c>
      <c r="P1388" t="s">
        <v>136</v>
      </c>
      <c r="Q1388" t="s">
        <v>362</v>
      </c>
      <c r="R1388" t="s">
        <v>2329</v>
      </c>
      <c r="S1388" s="7">
        <v>33881</v>
      </c>
      <c r="T1388" s="3">
        <v>42076</v>
      </c>
      <c r="U1388" s="3">
        <v>42077</v>
      </c>
      <c r="V1388" s="4">
        <v>322.12199999999996</v>
      </c>
      <c r="W1388">
        <v>16</v>
      </c>
      <c r="X1388">
        <v>109.99</v>
      </c>
      <c r="Y1388" s="7">
        <v>88998</v>
      </c>
    </row>
    <row r="1389" spans="1:25" ht="12.75" customHeight="1">
      <c r="A1389">
        <v>24569</v>
      </c>
      <c r="B1389" t="s">
        <v>56</v>
      </c>
      <c r="C1389" s="4">
        <v>0.03</v>
      </c>
      <c r="D1389" s="8">
        <v>111.03</v>
      </c>
      <c r="E1389" s="4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 s="5">
        <v>0.78</v>
      </c>
      <c r="O1389" t="s">
        <v>33</v>
      </c>
      <c r="P1389" t="s">
        <v>136</v>
      </c>
      <c r="Q1389" t="s">
        <v>362</v>
      </c>
      <c r="R1389" t="s">
        <v>2329</v>
      </c>
      <c r="S1389" s="7">
        <v>33881</v>
      </c>
      <c r="T1389" s="3">
        <v>42076</v>
      </c>
      <c r="U1389" s="3">
        <v>42077</v>
      </c>
      <c r="V1389" s="4">
        <v>366.53999999999996</v>
      </c>
      <c r="W1389">
        <v>8</v>
      </c>
      <c r="X1389">
        <v>900.12</v>
      </c>
      <c r="Y1389" s="7">
        <v>88998</v>
      </c>
    </row>
    <row r="1390" spans="1:25" ht="12.75" customHeight="1">
      <c r="A1390">
        <v>22028</v>
      </c>
      <c r="B1390" t="s">
        <v>25</v>
      </c>
      <c r="C1390" s="4">
        <v>0.02</v>
      </c>
      <c r="D1390" s="8">
        <v>71.37</v>
      </c>
      <c r="E1390" s="4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 s="5">
        <v>0.68</v>
      </c>
      <c r="O1390" t="s">
        <v>33</v>
      </c>
      <c r="P1390" t="s">
        <v>136</v>
      </c>
      <c r="Q1390" t="s">
        <v>387</v>
      </c>
      <c r="R1390" t="s">
        <v>2332</v>
      </c>
      <c r="S1390" s="7">
        <v>30458</v>
      </c>
      <c r="T1390" s="3">
        <v>42041</v>
      </c>
      <c r="U1390" s="3">
        <v>42042</v>
      </c>
      <c r="V1390" s="4">
        <v>-439.90800000000002</v>
      </c>
      <c r="W1390">
        <v>4</v>
      </c>
      <c r="X1390">
        <v>237.62</v>
      </c>
      <c r="Y1390" s="7">
        <v>91414</v>
      </c>
    </row>
    <row r="1391" spans="1:25" ht="12.75" customHeight="1">
      <c r="A1391">
        <v>22029</v>
      </c>
      <c r="B1391" t="s">
        <v>25</v>
      </c>
      <c r="C1391" s="4">
        <v>0.03</v>
      </c>
      <c r="D1391" s="8">
        <v>205.99</v>
      </c>
      <c r="E1391" s="4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 s="5">
        <v>0.6</v>
      </c>
      <c r="O1391" t="s">
        <v>33</v>
      </c>
      <c r="P1391" t="s">
        <v>136</v>
      </c>
      <c r="Q1391" t="s">
        <v>387</v>
      </c>
      <c r="R1391" t="s">
        <v>2332</v>
      </c>
      <c r="S1391" s="7">
        <v>30458</v>
      </c>
      <c r="T1391" s="3">
        <v>42041</v>
      </c>
      <c r="U1391" s="3">
        <v>42043</v>
      </c>
      <c r="V1391" s="4">
        <v>1087.7159999999999</v>
      </c>
      <c r="W1391">
        <v>1</v>
      </c>
      <c r="X1391">
        <v>176.42</v>
      </c>
      <c r="Y1391" s="7">
        <v>91414</v>
      </c>
    </row>
    <row r="1392" spans="1:25" ht="12.75" customHeight="1">
      <c r="A1392">
        <v>23495</v>
      </c>
      <c r="B1392" t="s">
        <v>106</v>
      </c>
      <c r="C1392" s="4">
        <v>0</v>
      </c>
      <c r="D1392" s="8">
        <v>180.98</v>
      </c>
      <c r="E1392" s="4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 s="5">
        <v>0.69</v>
      </c>
      <c r="O1392" t="s">
        <v>33</v>
      </c>
      <c r="P1392" t="s">
        <v>136</v>
      </c>
      <c r="Q1392" t="s">
        <v>387</v>
      </c>
      <c r="R1392" t="s">
        <v>2332</v>
      </c>
      <c r="S1392" s="7">
        <v>30458</v>
      </c>
      <c r="T1392" s="3">
        <v>42038</v>
      </c>
      <c r="U1392" s="3">
        <v>42040</v>
      </c>
      <c r="V1392" s="4">
        <v>9.2040000000000006</v>
      </c>
      <c r="W1392">
        <v>11</v>
      </c>
      <c r="X1392">
        <v>2084.16</v>
      </c>
      <c r="Y1392" s="7">
        <v>91416</v>
      </c>
    </row>
    <row r="1393" spans="1:25" ht="12.75" customHeight="1">
      <c r="A1393">
        <v>23983</v>
      </c>
      <c r="B1393" t="s">
        <v>37</v>
      </c>
      <c r="C1393" s="4">
        <v>0.04</v>
      </c>
      <c r="D1393" s="8">
        <v>3.08</v>
      </c>
      <c r="E1393" s="4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 s="5">
        <v>0.37</v>
      </c>
      <c r="O1393" t="s">
        <v>33</v>
      </c>
      <c r="P1393" t="s">
        <v>136</v>
      </c>
      <c r="Q1393" t="s">
        <v>387</v>
      </c>
      <c r="R1393" t="s">
        <v>2334</v>
      </c>
      <c r="S1393" s="7">
        <v>30084</v>
      </c>
      <c r="T1393" s="3">
        <v>42175</v>
      </c>
      <c r="U1393" s="3">
        <v>42176</v>
      </c>
      <c r="V1393" s="4">
        <v>257.08319999999998</v>
      </c>
      <c r="W1393">
        <v>14</v>
      </c>
      <c r="X1393">
        <v>43.41</v>
      </c>
      <c r="Y1393" s="7">
        <v>91415</v>
      </c>
    </row>
    <row r="1394" spans="1:25" ht="12.75" customHeight="1">
      <c r="A1394">
        <v>23984</v>
      </c>
      <c r="B1394" t="s">
        <v>37</v>
      </c>
      <c r="C1394" s="4">
        <v>0.1</v>
      </c>
      <c r="D1394" s="8">
        <v>2.78</v>
      </c>
      <c r="E1394" s="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 s="5">
        <v>0.59</v>
      </c>
      <c r="O1394" t="s">
        <v>33</v>
      </c>
      <c r="P1394" t="s">
        <v>136</v>
      </c>
      <c r="Q1394" t="s">
        <v>387</v>
      </c>
      <c r="R1394" t="s">
        <v>2334</v>
      </c>
      <c r="S1394" s="7">
        <v>30084</v>
      </c>
      <c r="T1394" s="3">
        <v>42175</v>
      </c>
      <c r="U1394" s="3">
        <v>42176</v>
      </c>
      <c r="V1394" s="4">
        <v>0.7854000000000001</v>
      </c>
      <c r="W1394">
        <v>18</v>
      </c>
      <c r="X1394">
        <v>46.42</v>
      </c>
      <c r="Y1394" s="7">
        <v>91415</v>
      </c>
    </row>
    <row r="1395" spans="1:25" ht="12.75" customHeight="1">
      <c r="A1395">
        <v>24476</v>
      </c>
      <c r="B1395" t="s">
        <v>37</v>
      </c>
      <c r="C1395" s="4">
        <v>0.02</v>
      </c>
      <c r="D1395" s="8">
        <v>136.97999999999999</v>
      </c>
      <c r="E1395" s="4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 s="5">
        <v>0.59</v>
      </c>
      <c r="O1395" t="s">
        <v>33</v>
      </c>
      <c r="P1395" t="s">
        <v>136</v>
      </c>
      <c r="Q1395" t="s">
        <v>387</v>
      </c>
      <c r="R1395" t="s">
        <v>2334</v>
      </c>
      <c r="S1395" s="7">
        <v>30084</v>
      </c>
      <c r="T1395" s="3">
        <v>42157</v>
      </c>
      <c r="U1395" s="3">
        <v>42158</v>
      </c>
      <c r="V1395" s="4">
        <v>88.56</v>
      </c>
      <c r="W1395">
        <v>8</v>
      </c>
      <c r="X1395">
        <v>1140.95</v>
      </c>
      <c r="Y1395" s="7">
        <v>91417</v>
      </c>
    </row>
    <row r="1396" spans="1:25" ht="12.75" customHeight="1">
      <c r="A1396">
        <v>20065</v>
      </c>
      <c r="B1396" t="s">
        <v>25</v>
      </c>
      <c r="C1396" s="4">
        <v>0.08</v>
      </c>
      <c r="D1396" s="8">
        <v>4.91</v>
      </c>
      <c r="E1396" s="4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 s="5">
        <v>0.36</v>
      </c>
      <c r="O1396" t="s">
        <v>33</v>
      </c>
      <c r="P1396" t="s">
        <v>136</v>
      </c>
      <c r="Q1396" t="s">
        <v>958</v>
      </c>
      <c r="R1396" t="s">
        <v>2336</v>
      </c>
      <c r="S1396" s="7">
        <v>72023</v>
      </c>
      <c r="T1396" s="3">
        <v>42103</v>
      </c>
      <c r="U1396" s="3">
        <v>42103</v>
      </c>
      <c r="V1396" s="4">
        <v>12.726000000000001</v>
      </c>
      <c r="W1396">
        <v>9</v>
      </c>
      <c r="X1396">
        <v>42.69</v>
      </c>
      <c r="Y1396" s="7">
        <v>86887</v>
      </c>
    </row>
    <row r="1397" spans="1:25" ht="12.75" customHeight="1">
      <c r="A1397">
        <v>20066</v>
      </c>
      <c r="B1397" t="s">
        <v>25</v>
      </c>
      <c r="C1397" s="4">
        <v>0.02</v>
      </c>
      <c r="D1397" s="8">
        <v>28.15</v>
      </c>
      <c r="E1397" s="4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 s="5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 s="7">
        <v>72023</v>
      </c>
      <c r="T1397" s="3">
        <v>42103</v>
      </c>
      <c r="U1397" s="3">
        <v>42104</v>
      </c>
      <c r="V1397" s="4">
        <v>160.8066</v>
      </c>
      <c r="W1397">
        <v>11</v>
      </c>
      <c r="X1397">
        <v>327.41000000000003</v>
      </c>
      <c r="Y1397" s="7">
        <v>86887</v>
      </c>
    </row>
    <row r="1398" spans="1:25" ht="12.75" customHeight="1">
      <c r="A1398">
        <v>20602</v>
      </c>
      <c r="B1398" t="s">
        <v>25</v>
      </c>
      <c r="C1398" s="4">
        <v>0.01</v>
      </c>
      <c r="D1398" s="8">
        <v>2036.48</v>
      </c>
      <c r="E1398" s="4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 s="5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 s="7">
        <v>94521</v>
      </c>
      <c r="T1398" s="3">
        <v>42046</v>
      </c>
      <c r="U1398" s="3">
        <v>42048</v>
      </c>
      <c r="V1398" s="4">
        <v>-1596.7457999999999</v>
      </c>
      <c r="W1398">
        <v>2</v>
      </c>
      <c r="X1398">
        <v>3786.84</v>
      </c>
      <c r="Y1398" s="7">
        <v>86883</v>
      </c>
    </row>
    <row r="1399" spans="1:25" ht="12.75" customHeight="1">
      <c r="A1399">
        <v>21212</v>
      </c>
      <c r="B1399" t="s">
        <v>56</v>
      </c>
      <c r="C1399" s="4">
        <v>0.04</v>
      </c>
      <c r="D1399" s="8">
        <v>419.19</v>
      </c>
      <c r="E1399" s="4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 s="5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 s="7">
        <v>94521</v>
      </c>
      <c r="T1399" s="3">
        <v>42120</v>
      </c>
      <c r="U1399" s="3">
        <v>42121</v>
      </c>
      <c r="V1399" s="4">
        <v>1388.3558999999998</v>
      </c>
      <c r="W1399">
        <v>5</v>
      </c>
      <c r="X1399">
        <v>2012.11</v>
      </c>
      <c r="Y1399" s="7">
        <v>86885</v>
      </c>
    </row>
    <row r="1400" spans="1:25" ht="12.75" customHeight="1">
      <c r="A1400">
        <v>21338</v>
      </c>
      <c r="B1400" t="s">
        <v>37</v>
      </c>
      <c r="C1400" s="4">
        <v>7.0000000000000007E-2</v>
      </c>
      <c r="D1400" s="8">
        <v>65.989999999999995</v>
      </c>
      <c r="E1400" s="4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 s="5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 s="7">
        <v>94521</v>
      </c>
      <c r="T1400" s="3">
        <v>42016</v>
      </c>
      <c r="U1400" s="3">
        <v>42016</v>
      </c>
      <c r="V1400" s="4">
        <v>109.83600000000001</v>
      </c>
      <c r="W1400">
        <v>9</v>
      </c>
      <c r="X1400">
        <v>471.66</v>
      </c>
      <c r="Y1400" s="7">
        <v>86886</v>
      </c>
    </row>
    <row r="1401" spans="1:25" ht="12.75" customHeight="1">
      <c r="A1401">
        <v>24856</v>
      </c>
      <c r="B1401" t="s">
        <v>47</v>
      </c>
      <c r="C1401" s="4">
        <v>0.09</v>
      </c>
      <c r="D1401" s="8">
        <v>348.21</v>
      </c>
      <c r="E1401" s="4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 s="5">
        <v>0.62</v>
      </c>
      <c r="O1401" t="s">
        <v>33</v>
      </c>
      <c r="P1401" t="s">
        <v>34</v>
      </c>
      <c r="Q1401" t="s">
        <v>45</v>
      </c>
      <c r="R1401" t="s">
        <v>2340</v>
      </c>
      <c r="S1401" s="7">
        <v>92627</v>
      </c>
      <c r="T1401" s="3">
        <v>42049</v>
      </c>
      <c r="U1401" s="3">
        <v>42051</v>
      </c>
      <c r="V1401" s="4">
        <v>-93.849999999999909</v>
      </c>
      <c r="W1401">
        <v>2</v>
      </c>
      <c r="X1401">
        <v>662.8</v>
      </c>
      <c r="Y1401" s="7">
        <v>86884</v>
      </c>
    </row>
    <row r="1402" spans="1:25" ht="12.75" customHeight="1">
      <c r="A1402">
        <v>21339</v>
      </c>
      <c r="B1402" t="s">
        <v>37</v>
      </c>
      <c r="C1402" s="4">
        <v>0</v>
      </c>
      <c r="D1402" s="8">
        <v>10.01</v>
      </c>
      <c r="E1402" s="4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 s="5">
        <v>0.41</v>
      </c>
      <c r="O1402" t="s">
        <v>33</v>
      </c>
      <c r="P1402" t="s">
        <v>34</v>
      </c>
      <c r="Q1402" t="s">
        <v>45</v>
      </c>
      <c r="R1402" t="s">
        <v>2340</v>
      </c>
      <c r="S1402" s="7">
        <v>92627</v>
      </c>
      <c r="T1402" s="3">
        <v>42016</v>
      </c>
      <c r="U1402" s="3">
        <v>42018</v>
      </c>
      <c r="V1402" s="4">
        <v>82.703399999999988</v>
      </c>
      <c r="W1402">
        <v>11</v>
      </c>
      <c r="X1402">
        <v>119.86</v>
      </c>
      <c r="Y1402" s="7">
        <v>86886</v>
      </c>
    </row>
    <row r="1403" spans="1:25" ht="12.75" customHeight="1">
      <c r="A1403">
        <v>6856</v>
      </c>
      <c r="B1403" t="s">
        <v>47</v>
      </c>
      <c r="C1403" s="4">
        <v>0.09</v>
      </c>
      <c r="D1403" s="8">
        <v>348.21</v>
      </c>
      <c r="E1403" s="4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 s="5">
        <v>0.62</v>
      </c>
      <c r="O1403" t="s">
        <v>33</v>
      </c>
      <c r="P1403" t="s">
        <v>34</v>
      </c>
      <c r="Q1403" t="s">
        <v>45</v>
      </c>
      <c r="R1403" t="s">
        <v>663</v>
      </c>
      <c r="S1403" s="7">
        <v>90045</v>
      </c>
      <c r="T1403" s="3">
        <v>42049</v>
      </c>
      <c r="U1403" s="3">
        <v>42051</v>
      </c>
      <c r="V1403" s="4">
        <v>-93.849999999999909</v>
      </c>
      <c r="W1403">
        <v>8</v>
      </c>
      <c r="X1403">
        <v>2651.21</v>
      </c>
      <c r="Y1403" s="7">
        <v>48836</v>
      </c>
    </row>
    <row r="1404" spans="1:25" ht="12.75" customHeight="1">
      <c r="A1404">
        <v>1617</v>
      </c>
      <c r="B1404" t="s">
        <v>106</v>
      </c>
      <c r="C1404" s="4">
        <v>0.06</v>
      </c>
      <c r="D1404" s="8">
        <v>4.28</v>
      </c>
      <c r="E1404" s="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 s="5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 s="7">
        <v>90045</v>
      </c>
      <c r="T1404" s="3">
        <v>42120</v>
      </c>
      <c r="U1404" s="3">
        <v>42122</v>
      </c>
      <c r="V1404" s="4">
        <v>0.36999999999999922</v>
      </c>
      <c r="W1404">
        <v>9</v>
      </c>
      <c r="X1404">
        <v>38.96</v>
      </c>
      <c r="Y1404" s="7">
        <v>11712</v>
      </c>
    </row>
    <row r="1405" spans="1:25" ht="12.75" customHeight="1">
      <c r="A1405">
        <v>3212</v>
      </c>
      <c r="B1405" t="s">
        <v>56</v>
      </c>
      <c r="C1405" s="4">
        <v>0.04</v>
      </c>
      <c r="D1405" s="8">
        <v>419.19</v>
      </c>
      <c r="E1405" s="4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 s="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 s="7">
        <v>90045</v>
      </c>
      <c r="T1405" s="3">
        <v>42120</v>
      </c>
      <c r="U1405" s="3">
        <v>42121</v>
      </c>
      <c r="V1405" s="4">
        <v>1947.67</v>
      </c>
      <c r="W1405">
        <v>20</v>
      </c>
      <c r="X1405">
        <v>8048.45</v>
      </c>
      <c r="Y1405" s="7">
        <v>23042</v>
      </c>
    </row>
    <row r="1406" spans="1:25" ht="12.75" customHeight="1">
      <c r="A1406">
        <v>3338</v>
      </c>
      <c r="B1406" t="s">
        <v>37</v>
      </c>
      <c r="C1406" s="4">
        <v>7.0000000000000007E-2</v>
      </c>
      <c r="D1406" s="8">
        <v>65.989999999999995</v>
      </c>
      <c r="E1406" s="4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 s="5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 s="7">
        <v>90045</v>
      </c>
      <c r="T1406" s="3">
        <v>42016</v>
      </c>
      <c r="U1406" s="3">
        <v>42016</v>
      </c>
      <c r="V1406" s="4">
        <v>109.83600000000001</v>
      </c>
      <c r="W1406">
        <v>37</v>
      </c>
      <c r="X1406">
        <v>1939.03</v>
      </c>
      <c r="Y1406" s="7">
        <v>23877</v>
      </c>
    </row>
    <row r="1407" spans="1:25" ht="12.75" customHeight="1">
      <c r="A1407">
        <v>3339</v>
      </c>
      <c r="B1407" t="s">
        <v>37</v>
      </c>
      <c r="C1407" s="4">
        <v>0</v>
      </c>
      <c r="D1407" s="8">
        <v>10.01</v>
      </c>
      <c r="E1407" s="4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 s="5">
        <v>0.41</v>
      </c>
      <c r="O1407" t="s">
        <v>33</v>
      </c>
      <c r="P1407" t="s">
        <v>34</v>
      </c>
      <c r="Q1407" t="s">
        <v>45</v>
      </c>
      <c r="R1407" t="s">
        <v>663</v>
      </c>
      <c r="S1407" s="7">
        <v>90045</v>
      </c>
      <c r="T1407" s="3">
        <v>42016</v>
      </c>
      <c r="U1407" s="3">
        <v>42018</v>
      </c>
      <c r="V1407" s="4">
        <v>128.03</v>
      </c>
      <c r="W1407">
        <v>42</v>
      </c>
      <c r="X1407">
        <v>457.63</v>
      </c>
      <c r="Y1407" s="7">
        <v>23877</v>
      </c>
    </row>
    <row r="1408" spans="1:25" ht="12.75" customHeight="1">
      <c r="A1408">
        <v>2065</v>
      </c>
      <c r="B1408" t="s">
        <v>25</v>
      </c>
      <c r="C1408" s="4">
        <v>0.08</v>
      </c>
      <c r="D1408" s="8">
        <v>4.91</v>
      </c>
      <c r="E1408" s="4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 s="5">
        <v>0.36</v>
      </c>
      <c r="O1408" t="s">
        <v>33</v>
      </c>
      <c r="P1408" t="s">
        <v>34</v>
      </c>
      <c r="Q1408" t="s">
        <v>45</v>
      </c>
      <c r="R1408" t="s">
        <v>663</v>
      </c>
      <c r="S1408" s="7">
        <v>90045</v>
      </c>
      <c r="T1408" s="3">
        <v>42103</v>
      </c>
      <c r="U1408" s="3">
        <v>42103</v>
      </c>
      <c r="V1408" s="4">
        <v>31.751999999999999</v>
      </c>
      <c r="W1408">
        <v>36</v>
      </c>
      <c r="X1408">
        <v>170.75</v>
      </c>
      <c r="Y1408" s="7">
        <v>14785</v>
      </c>
    </row>
    <row r="1409" spans="1:25" ht="12.75" customHeight="1">
      <c r="A1409">
        <v>2066</v>
      </c>
      <c r="B1409" t="s">
        <v>25</v>
      </c>
      <c r="C1409" s="4">
        <v>0.02</v>
      </c>
      <c r="D1409" s="8">
        <v>28.15</v>
      </c>
      <c r="E1409" s="4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 s="5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 s="7">
        <v>90045</v>
      </c>
      <c r="T1409" s="3">
        <v>42103</v>
      </c>
      <c r="U1409" s="3">
        <v>42104</v>
      </c>
      <c r="V1409" s="4">
        <v>117.208</v>
      </c>
      <c r="W1409">
        <v>45</v>
      </c>
      <c r="X1409">
        <v>1339.42</v>
      </c>
      <c r="Y1409" s="7">
        <v>14785</v>
      </c>
    </row>
    <row r="1410" spans="1:25" ht="12.75" customHeight="1">
      <c r="A1410">
        <v>19617</v>
      </c>
      <c r="B1410" t="s">
        <v>106</v>
      </c>
      <c r="C1410" s="4">
        <v>0.06</v>
      </c>
      <c r="D1410" s="8">
        <v>4.28</v>
      </c>
      <c r="E1410" s="4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 s="5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 s="7">
        <v>82901</v>
      </c>
      <c r="T1410" s="3">
        <v>42120</v>
      </c>
      <c r="U1410" s="3">
        <v>42122</v>
      </c>
      <c r="V1410" s="4">
        <v>0.36999999999999922</v>
      </c>
      <c r="W1410">
        <v>2</v>
      </c>
      <c r="X1410">
        <v>8.66</v>
      </c>
      <c r="Y1410" s="7">
        <v>86885</v>
      </c>
    </row>
    <row r="1411" spans="1:25" ht="12.75" customHeight="1">
      <c r="A1411">
        <v>2296</v>
      </c>
      <c r="B1411" t="s">
        <v>37</v>
      </c>
      <c r="C1411" s="4">
        <v>0.09</v>
      </c>
      <c r="D1411" s="8">
        <v>355.98</v>
      </c>
      <c r="E1411" s="4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 s="5">
        <v>0.64</v>
      </c>
      <c r="O1411" t="s">
        <v>33</v>
      </c>
      <c r="P1411" t="s">
        <v>34</v>
      </c>
      <c r="Q1411" t="s">
        <v>45</v>
      </c>
      <c r="R1411" t="s">
        <v>1732</v>
      </c>
      <c r="S1411" s="7">
        <v>92024</v>
      </c>
      <c r="T1411" s="3">
        <v>42053</v>
      </c>
      <c r="U1411" s="3">
        <v>42055</v>
      </c>
      <c r="V1411" s="4">
        <v>1240.25</v>
      </c>
      <c r="W1411">
        <v>30</v>
      </c>
      <c r="X1411">
        <v>10554.63</v>
      </c>
      <c r="Y1411" s="7">
        <v>16547</v>
      </c>
    </row>
    <row r="1412" spans="1:25" ht="12.75" customHeight="1">
      <c r="A1412">
        <v>2297</v>
      </c>
      <c r="B1412" t="s">
        <v>37</v>
      </c>
      <c r="C1412" s="4">
        <v>0.04</v>
      </c>
      <c r="D1412" s="8">
        <v>218.75</v>
      </c>
      <c r="E1412" s="4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 s="5">
        <v>0.77</v>
      </c>
      <c r="O1412" t="s">
        <v>33</v>
      </c>
      <c r="P1412" t="s">
        <v>34</v>
      </c>
      <c r="Q1412" t="s">
        <v>45</v>
      </c>
      <c r="R1412" t="s">
        <v>1732</v>
      </c>
      <c r="S1412" s="7">
        <v>92024</v>
      </c>
      <c r="T1412" s="3">
        <v>42053</v>
      </c>
      <c r="U1412" s="3">
        <v>42053</v>
      </c>
      <c r="V1412" s="4">
        <v>-533.23200000000008</v>
      </c>
      <c r="W1412">
        <v>8</v>
      </c>
      <c r="X1412">
        <v>1749.64</v>
      </c>
      <c r="Y1412" s="7">
        <v>16547</v>
      </c>
    </row>
    <row r="1413" spans="1:25" ht="12.75" customHeight="1">
      <c r="A1413">
        <v>7628</v>
      </c>
      <c r="B1413" t="s">
        <v>56</v>
      </c>
      <c r="C1413" s="4">
        <v>0.09</v>
      </c>
      <c r="D1413" s="8">
        <v>6.28</v>
      </c>
      <c r="E1413" s="4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 s="5">
        <v>0.53</v>
      </c>
      <c r="O1413" t="s">
        <v>33</v>
      </c>
      <c r="P1413" t="s">
        <v>34</v>
      </c>
      <c r="Q1413" t="s">
        <v>45</v>
      </c>
      <c r="R1413" t="s">
        <v>1732</v>
      </c>
      <c r="S1413" s="7">
        <v>92024</v>
      </c>
      <c r="T1413" s="3">
        <v>42037</v>
      </c>
      <c r="U1413" s="3">
        <v>42039</v>
      </c>
      <c r="V1413" s="4">
        <v>-61.59</v>
      </c>
      <c r="W1413">
        <v>56</v>
      </c>
      <c r="X1413">
        <v>355.4</v>
      </c>
      <c r="Y1413" s="7">
        <v>54567</v>
      </c>
    </row>
    <row r="1414" spans="1:25" ht="12.75" customHeight="1">
      <c r="A1414">
        <v>2768</v>
      </c>
      <c r="B1414" t="s">
        <v>37</v>
      </c>
      <c r="C1414" s="4">
        <v>0.08</v>
      </c>
      <c r="D1414" s="8">
        <v>1.68</v>
      </c>
      <c r="E1414" s="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 s="5">
        <v>0.59</v>
      </c>
      <c r="O1414" t="s">
        <v>33</v>
      </c>
      <c r="P1414" t="s">
        <v>34</v>
      </c>
      <c r="Q1414" t="s">
        <v>45</v>
      </c>
      <c r="R1414" t="s">
        <v>1732</v>
      </c>
      <c r="S1414" s="7">
        <v>92024</v>
      </c>
      <c r="T1414" s="3">
        <v>42040</v>
      </c>
      <c r="U1414" s="3">
        <v>42041</v>
      </c>
      <c r="V1414" s="4">
        <v>-46.25</v>
      </c>
      <c r="W1414">
        <v>88</v>
      </c>
      <c r="X1414">
        <v>148.36000000000001</v>
      </c>
      <c r="Y1414" s="7">
        <v>20007</v>
      </c>
    </row>
    <row r="1415" spans="1:25" ht="12.75" customHeight="1">
      <c r="A1415">
        <v>20296</v>
      </c>
      <c r="B1415" t="s">
        <v>37</v>
      </c>
      <c r="C1415" s="4">
        <v>0.09</v>
      </c>
      <c r="D1415" s="8">
        <v>355.98</v>
      </c>
      <c r="E1415" s="4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 s="5">
        <v>0.64</v>
      </c>
      <c r="O1415" t="s">
        <v>33</v>
      </c>
      <c r="P1415" t="s">
        <v>61</v>
      </c>
      <c r="Q1415" t="s">
        <v>178</v>
      </c>
      <c r="R1415" t="s">
        <v>2346</v>
      </c>
      <c r="S1415" s="7">
        <v>60901</v>
      </c>
      <c r="T1415" s="3">
        <v>42053</v>
      </c>
      <c r="U1415" s="3">
        <v>42055</v>
      </c>
      <c r="V1415" s="4">
        <v>1240.25</v>
      </c>
      <c r="W1415">
        <v>8</v>
      </c>
      <c r="X1415">
        <v>2814.57</v>
      </c>
      <c r="Y1415" s="7">
        <v>88319</v>
      </c>
    </row>
    <row r="1416" spans="1:25" ht="12.75" customHeight="1">
      <c r="A1416">
        <v>25628</v>
      </c>
      <c r="B1416" t="s">
        <v>56</v>
      </c>
      <c r="C1416" s="4">
        <v>0.09</v>
      </c>
      <c r="D1416" s="8">
        <v>6.28</v>
      </c>
      <c r="E1416" s="4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 s="5">
        <v>0.53</v>
      </c>
      <c r="O1416" t="s">
        <v>33</v>
      </c>
      <c r="P1416" t="s">
        <v>61</v>
      </c>
      <c r="Q1416" t="s">
        <v>178</v>
      </c>
      <c r="R1416" t="s">
        <v>2348</v>
      </c>
      <c r="S1416" s="7">
        <v>60102</v>
      </c>
      <c r="T1416" s="3">
        <v>42037</v>
      </c>
      <c r="U1416" s="3">
        <v>42039</v>
      </c>
      <c r="V1416" s="4">
        <v>-32.026800000000001</v>
      </c>
      <c r="W1416">
        <v>14</v>
      </c>
      <c r="X1416">
        <v>88.85</v>
      </c>
      <c r="Y1416" s="7">
        <v>88320</v>
      </c>
    </row>
    <row r="1417" spans="1:25" ht="12.75" customHeight="1">
      <c r="A1417">
        <v>24899</v>
      </c>
      <c r="B1417" t="s">
        <v>25</v>
      </c>
      <c r="C1417" s="4">
        <v>0.1</v>
      </c>
      <c r="D1417" s="8">
        <v>24.92</v>
      </c>
      <c r="E1417" s="4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 s="5">
        <v>0.39</v>
      </c>
      <c r="O1417" t="s">
        <v>33</v>
      </c>
      <c r="P1417" t="s">
        <v>61</v>
      </c>
      <c r="Q1417" t="s">
        <v>703</v>
      </c>
      <c r="R1417" t="s">
        <v>2350</v>
      </c>
      <c r="S1417" s="7">
        <v>46321</v>
      </c>
      <c r="T1417" s="3">
        <v>42082</v>
      </c>
      <c r="U1417" s="3">
        <v>42082</v>
      </c>
      <c r="V1417" s="4">
        <v>-45.816000000000003</v>
      </c>
      <c r="W1417">
        <v>3</v>
      </c>
      <c r="X1417">
        <v>70.819999999999993</v>
      </c>
      <c r="Y1417" s="7">
        <v>91310</v>
      </c>
    </row>
    <row r="1418" spans="1:25" ht="12.75" customHeight="1">
      <c r="A1418">
        <v>24901</v>
      </c>
      <c r="B1418" t="s">
        <v>25</v>
      </c>
      <c r="C1418" s="4">
        <v>0</v>
      </c>
      <c r="D1418" s="8">
        <v>12.28</v>
      </c>
      <c r="E1418" s="4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 s="5">
        <v>0.38</v>
      </c>
      <c r="O1418" t="s">
        <v>33</v>
      </c>
      <c r="P1418" t="s">
        <v>61</v>
      </c>
      <c r="Q1418" t="s">
        <v>703</v>
      </c>
      <c r="R1418" t="s">
        <v>2350</v>
      </c>
      <c r="S1418" s="7">
        <v>46321</v>
      </c>
      <c r="T1418" s="3">
        <v>42082</v>
      </c>
      <c r="U1418" s="3">
        <v>42083</v>
      </c>
      <c r="V1418" s="4">
        <v>30.63</v>
      </c>
      <c r="W1418">
        <v>7</v>
      </c>
      <c r="X1418">
        <v>90.44</v>
      </c>
      <c r="Y1418" s="7">
        <v>91310</v>
      </c>
    </row>
    <row r="1419" spans="1:25" ht="12.75" customHeight="1">
      <c r="A1419">
        <v>18219</v>
      </c>
      <c r="B1419" t="s">
        <v>56</v>
      </c>
      <c r="C1419" s="4">
        <v>0.02</v>
      </c>
      <c r="D1419" s="8">
        <v>6.48</v>
      </c>
      <c r="E1419" s="4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 s="5">
        <v>0.36</v>
      </c>
      <c r="O1419" t="s">
        <v>33</v>
      </c>
      <c r="P1419" t="s">
        <v>53</v>
      </c>
      <c r="Q1419" t="s">
        <v>228</v>
      </c>
      <c r="R1419" t="s">
        <v>2353</v>
      </c>
      <c r="S1419" s="7">
        <v>6408</v>
      </c>
      <c r="T1419" s="3">
        <v>42160</v>
      </c>
      <c r="U1419" s="3">
        <v>42162</v>
      </c>
      <c r="V1419" s="4">
        <v>-6.835</v>
      </c>
      <c r="W1419">
        <v>1</v>
      </c>
      <c r="X1419">
        <v>10.72</v>
      </c>
      <c r="Y1419" s="7">
        <v>87033</v>
      </c>
    </row>
    <row r="1420" spans="1:25" ht="12.75" customHeight="1">
      <c r="A1420">
        <v>18217</v>
      </c>
      <c r="B1420" t="s">
        <v>56</v>
      </c>
      <c r="C1420" s="4">
        <v>0.06</v>
      </c>
      <c r="D1420" s="8">
        <v>699.99</v>
      </c>
      <c r="E1420" s="4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 s="5">
        <v>0.41</v>
      </c>
      <c r="O1420" t="s">
        <v>33</v>
      </c>
      <c r="P1420" t="s">
        <v>53</v>
      </c>
      <c r="Q1420" t="s">
        <v>188</v>
      </c>
      <c r="R1420" t="s">
        <v>450</v>
      </c>
      <c r="S1420" s="7">
        <v>4401</v>
      </c>
      <c r="T1420" s="3">
        <v>42160</v>
      </c>
      <c r="U1420" s="3">
        <v>42162</v>
      </c>
      <c r="V1420" s="4">
        <v>7024.2068999999992</v>
      </c>
      <c r="W1420">
        <v>15</v>
      </c>
      <c r="X1420">
        <v>10180.01</v>
      </c>
      <c r="Y1420" s="7">
        <v>87033</v>
      </c>
    </row>
    <row r="1421" spans="1:25" ht="12.75" customHeight="1">
      <c r="A1421">
        <v>23265</v>
      </c>
      <c r="B1421" t="s">
        <v>106</v>
      </c>
      <c r="C1421" s="4">
        <v>0.02</v>
      </c>
      <c r="D1421" s="8">
        <v>5.81</v>
      </c>
      <c r="E1421" s="4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 s="5">
        <v>0.39</v>
      </c>
      <c r="O1421" t="s">
        <v>33</v>
      </c>
      <c r="P1421" t="s">
        <v>53</v>
      </c>
      <c r="Q1421" t="s">
        <v>188</v>
      </c>
      <c r="R1421" t="s">
        <v>433</v>
      </c>
      <c r="S1421" s="7">
        <v>4073</v>
      </c>
      <c r="T1421" s="3">
        <v>42012</v>
      </c>
      <c r="U1421" s="3">
        <v>42016</v>
      </c>
      <c r="V1421" s="4">
        <v>-137.494</v>
      </c>
      <c r="W1421">
        <v>7</v>
      </c>
      <c r="X1421">
        <v>42.44</v>
      </c>
      <c r="Y1421" s="7">
        <v>87031</v>
      </c>
    </row>
    <row r="1422" spans="1:25" ht="12.75" customHeight="1">
      <c r="A1422">
        <v>21918</v>
      </c>
      <c r="B1422" t="s">
        <v>56</v>
      </c>
      <c r="C1422" s="4">
        <v>0.05</v>
      </c>
      <c r="D1422" s="8">
        <v>30.98</v>
      </c>
      <c r="E1422" s="4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 s="5">
        <v>0.4</v>
      </c>
      <c r="O1422" t="s">
        <v>33</v>
      </c>
      <c r="P1422" t="s">
        <v>53</v>
      </c>
      <c r="Q1422" t="s">
        <v>188</v>
      </c>
      <c r="R1422" t="s">
        <v>594</v>
      </c>
      <c r="S1422" s="7">
        <v>4106</v>
      </c>
      <c r="T1422" s="3">
        <v>42129</v>
      </c>
      <c r="U1422" s="3">
        <v>42129</v>
      </c>
      <c r="V1422" s="4">
        <v>308.67</v>
      </c>
      <c r="W1422">
        <v>15</v>
      </c>
      <c r="X1422">
        <v>462.57</v>
      </c>
      <c r="Y1422" s="7">
        <v>87029</v>
      </c>
    </row>
    <row r="1423" spans="1:25" ht="12.75" customHeight="1">
      <c r="A1423">
        <v>21102</v>
      </c>
      <c r="B1423" t="s">
        <v>37</v>
      </c>
      <c r="C1423" s="4">
        <v>0.04</v>
      </c>
      <c r="D1423" s="8">
        <v>6.48</v>
      </c>
      <c r="E1423" s="4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 s="5">
        <v>0.37</v>
      </c>
      <c r="O1423" t="s">
        <v>33</v>
      </c>
      <c r="P1423" t="s">
        <v>53</v>
      </c>
      <c r="Q1423" t="s">
        <v>193</v>
      </c>
      <c r="R1423" t="s">
        <v>2360</v>
      </c>
      <c r="S1423" s="7">
        <v>2138</v>
      </c>
      <c r="T1423" s="3">
        <v>42170</v>
      </c>
      <c r="U1423" s="3">
        <v>42172</v>
      </c>
      <c r="V1423" s="4">
        <v>-223.94400000000002</v>
      </c>
      <c r="W1423">
        <v>19</v>
      </c>
      <c r="X1423">
        <v>125.37</v>
      </c>
      <c r="Y1423" s="7">
        <v>87030</v>
      </c>
    </row>
    <row r="1424" spans="1:25" ht="12.75" customHeight="1">
      <c r="A1424">
        <v>18220</v>
      </c>
      <c r="B1424" t="s">
        <v>56</v>
      </c>
      <c r="C1424" s="4">
        <v>0.02</v>
      </c>
      <c r="D1424" s="8">
        <v>17.149999999999999</v>
      </c>
      <c r="E1424" s="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 s="5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 s="7">
        <v>7631</v>
      </c>
      <c r="T1424" s="3">
        <v>42160</v>
      </c>
      <c r="U1424" s="3">
        <v>42162</v>
      </c>
      <c r="V1424" s="4">
        <v>36.494999999999997</v>
      </c>
      <c r="W1424">
        <v>11</v>
      </c>
      <c r="X1424">
        <v>190.85</v>
      </c>
      <c r="Y1424" s="7">
        <v>87033</v>
      </c>
    </row>
    <row r="1425" spans="1:25" ht="12.75" customHeight="1">
      <c r="A1425">
        <v>18221</v>
      </c>
      <c r="B1425" t="s">
        <v>56</v>
      </c>
      <c r="C1425" s="4">
        <v>7.0000000000000007E-2</v>
      </c>
      <c r="D1425" s="8">
        <v>30.98</v>
      </c>
      <c r="E1425" s="4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 s="5">
        <v>0.4</v>
      </c>
      <c r="O1425" t="s">
        <v>33</v>
      </c>
      <c r="P1425" t="s">
        <v>53</v>
      </c>
      <c r="Q1425" t="s">
        <v>469</v>
      </c>
      <c r="R1425" t="s">
        <v>2363</v>
      </c>
      <c r="S1425" s="7">
        <v>2908</v>
      </c>
      <c r="T1425" s="3">
        <v>42160</v>
      </c>
      <c r="U1425" s="3">
        <v>42161</v>
      </c>
      <c r="V1425" s="4">
        <v>255.76919999999998</v>
      </c>
      <c r="W1425">
        <v>12</v>
      </c>
      <c r="X1425">
        <v>370.68</v>
      </c>
      <c r="Y1425" s="7">
        <v>87033</v>
      </c>
    </row>
    <row r="1426" spans="1:25" ht="12.75" customHeight="1">
      <c r="A1426">
        <v>25463</v>
      </c>
      <c r="B1426" t="s">
        <v>56</v>
      </c>
      <c r="C1426" s="4">
        <v>0</v>
      </c>
      <c r="D1426" s="8">
        <v>175.99</v>
      </c>
      <c r="E1426" s="4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 s="5">
        <v>0.59</v>
      </c>
      <c r="O1426" t="s">
        <v>33</v>
      </c>
      <c r="P1426" t="s">
        <v>61</v>
      </c>
      <c r="Q1426" t="s">
        <v>130</v>
      </c>
      <c r="R1426" t="s">
        <v>2365</v>
      </c>
      <c r="S1426" s="7">
        <v>75109</v>
      </c>
      <c r="T1426" s="3">
        <v>42053</v>
      </c>
      <c r="U1426" s="3">
        <v>42056</v>
      </c>
      <c r="V1426" s="4">
        <v>1656.6554999999998</v>
      </c>
      <c r="W1426">
        <v>15</v>
      </c>
      <c r="X1426">
        <v>2400.9499999999998</v>
      </c>
      <c r="Y1426" s="7">
        <v>87032</v>
      </c>
    </row>
    <row r="1427" spans="1:25" ht="12.75" customHeight="1">
      <c r="A1427">
        <v>18218</v>
      </c>
      <c r="B1427" t="s">
        <v>56</v>
      </c>
      <c r="C1427" s="4">
        <v>0.04</v>
      </c>
      <c r="D1427" s="8">
        <v>1360.14</v>
      </c>
      <c r="E1427" s="4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 s="5">
        <v>0.59</v>
      </c>
      <c r="O1427" t="s">
        <v>33</v>
      </c>
      <c r="P1427" t="s">
        <v>53</v>
      </c>
      <c r="Q1427" t="s">
        <v>149</v>
      </c>
      <c r="R1427" t="s">
        <v>150</v>
      </c>
      <c r="S1427" s="7">
        <v>5401</v>
      </c>
      <c r="T1427" s="3">
        <v>42160</v>
      </c>
      <c r="U1427" s="3">
        <v>42163</v>
      </c>
      <c r="V1427" s="4">
        <v>2639.0099999999998</v>
      </c>
      <c r="W1427">
        <v>6</v>
      </c>
      <c r="X1427">
        <v>7303.05</v>
      </c>
      <c r="Y1427" s="7">
        <v>87033</v>
      </c>
    </row>
    <row r="1428" spans="1:25" ht="12.75" customHeight="1">
      <c r="A1428">
        <v>18866</v>
      </c>
      <c r="B1428" t="s">
        <v>47</v>
      </c>
      <c r="C1428" s="4">
        <v>0.01</v>
      </c>
      <c r="D1428" s="8">
        <v>2.16</v>
      </c>
      <c r="E1428" s="4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 s="5">
        <v>0.37</v>
      </c>
      <c r="O1428" t="s">
        <v>33</v>
      </c>
      <c r="P1428" t="s">
        <v>136</v>
      </c>
      <c r="Q1428" t="s">
        <v>171</v>
      </c>
      <c r="R1428" t="s">
        <v>1479</v>
      </c>
      <c r="S1428" s="7">
        <v>70506</v>
      </c>
      <c r="T1428" s="3">
        <v>42147</v>
      </c>
      <c r="U1428" s="3">
        <v>42149</v>
      </c>
      <c r="V1428" s="4">
        <v>395.76</v>
      </c>
      <c r="W1428">
        <v>24</v>
      </c>
      <c r="X1428">
        <v>58.05</v>
      </c>
      <c r="Y1428" s="7">
        <v>87208</v>
      </c>
    </row>
    <row r="1429" spans="1:25" ht="12.75" customHeight="1">
      <c r="A1429">
        <v>18867</v>
      </c>
      <c r="B1429" t="s">
        <v>47</v>
      </c>
      <c r="C1429" s="4">
        <v>7.0000000000000007E-2</v>
      </c>
      <c r="D1429" s="8">
        <v>21.38</v>
      </c>
      <c r="E1429" s="4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 s="5">
        <v>0.59</v>
      </c>
      <c r="O1429" t="s">
        <v>33</v>
      </c>
      <c r="P1429" t="s">
        <v>136</v>
      </c>
      <c r="Q1429" t="s">
        <v>171</v>
      </c>
      <c r="R1429" t="s">
        <v>2369</v>
      </c>
      <c r="S1429" s="7">
        <v>70601</v>
      </c>
      <c r="T1429" s="3">
        <v>42147</v>
      </c>
      <c r="U1429" s="3">
        <v>42149</v>
      </c>
      <c r="V1429" s="4">
        <v>-39.396000000000001</v>
      </c>
      <c r="W1429">
        <v>3</v>
      </c>
      <c r="X1429">
        <v>68.64</v>
      </c>
      <c r="Y1429" s="7">
        <v>87208</v>
      </c>
    </row>
    <row r="1430" spans="1:25" ht="12.75" customHeight="1">
      <c r="A1430">
        <v>20254</v>
      </c>
      <c r="B1430" t="s">
        <v>25</v>
      </c>
      <c r="C1430" s="4">
        <v>0.04</v>
      </c>
      <c r="D1430" s="8">
        <v>40.98</v>
      </c>
      <c r="E1430" s="4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 s="5">
        <v>0.74</v>
      </c>
      <c r="O1430" t="s">
        <v>33</v>
      </c>
      <c r="P1430" t="s">
        <v>34</v>
      </c>
      <c r="Q1430" t="s">
        <v>45</v>
      </c>
      <c r="R1430" t="s">
        <v>2371</v>
      </c>
      <c r="S1430" s="7">
        <v>92307</v>
      </c>
      <c r="T1430" s="3">
        <v>42092</v>
      </c>
      <c r="U1430" s="3">
        <v>42093</v>
      </c>
      <c r="V1430" s="4">
        <v>-89.5</v>
      </c>
      <c r="W1430">
        <v>7</v>
      </c>
      <c r="X1430">
        <v>277.07</v>
      </c>
      <c r="Y1430" s="7">
        <v>87451</v>
      </c>
    </row>
    <row r="1431" spans="1:25" ht="12.75" customHeight="1">
      <c r="A1431">
        <v>23782</v>
      </c>
      <c r="B1431" t="s">
        <v>56</v>
      </c>
      <c r="C1431" s="4">
        <v>0.08</v>
      </c>
      <c r="D1431" s="8">
        <v>4</v>
      </c>
      <c r="E1431" s="4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 s="5">
        <v>0.37</v>
      </c>
      <c r="O1431" t="s">
        <v>33</v>
      </c>
      <c r="P1431" t="s">
        <v>34</v>
      </c>
      <c r="Q1431" t="s">
        <v>45</v>
      </c>
      <c r="R1431" t="s">
        <v>2373</v>
      </c>
      <c r="S1431" s="7">
        <v>93422</v>
      </c>
      <c r="T1431" s="3">
        <v>42126</v>
      </c>
      <c r="U1431" s="3">
        <v>42128</v>
      </c>
      <c r="V1431" s="4">
        <v>28.4</v>
      </c>
      <c r="W1431">
        <v>14</v>
      </c>
      <c r="X1431">
        <v>51.99</v>
      </c>
      <c r="Y1431" s="7">
        <v>87452</v>
      </c>
    </row>
    <row r="1432" spans="1:25" ht="12.75" customHeight="1">
      <c r="A1432">
        <v>20255</v>
      </c>
      <c r="B1432" t="s">
        <v>25</v>
      </c>
      <c r="C1432" s="4">
        <v>0.05</v>
      </c>
      <c r="D1432" s="8">
        <v>35.99</v>
      </c>
      <c r="E1432" s="4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 s="5">
        <v>0.39</v>
      </c>
      <c r="O1432" t="s">
        <v>33</v>
      </c>
      <c r="P1432" t="s">
        <v>53</v>
      </c>
      <c r="Q1432" t="s">
        <v>188</v>
      </c>
      <c r="R1432" t="s">
        <v>450</v>
      </c>
      <c r="S1432" s="7">
        <v>4401</v>
      </c>
      <c r="T1432" s="3">
        <v>42092</v>
      </c>
      <c r="U1432" s="3">
        <v>42094</v>
      </c>
      <c r="V1432" s="4">
        <v>103.27229999999999</v>
      </c>
      <c r="W1432">
        <v>5</v>
      </c>
      <c r="X1432">
        <v>149.66999999999999</v>
      </c>
      <c r="Y1432" s="7">
        <v>87451</v>
      </c>
    </row>
    <row r="1433" spans="1:25" ht="12.75" customHeight="1">
      <c r="A1433">
        <v>22839</v>
      </c>
      <c r="B1433" t="s">
        <v>37</v>
      </c>
      <c r="C1433" s="4">
        <v>0.08</v>
      </c>
      <c r="D1433" s="8">
        <v>12.53</v>
      </c>
      <c r="E1433" s="4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 s="5">
        <v>0.38</v>
      </c>
      <c r="O1433" t="s">
        <v>33</v>
      </c>
      <c r="P1433" t="s">
        <v>136</v>
      </c>
      <c r="Q1433" t="s">
        <v>362</v>
      </c>
      <c r="R1433" t="s">
        <v>2376</v>
      </c>
      <c r="S1433" s="7">
        <v>32789</v>
      </c>
      <c r="T1433" s="3">
        <v>42101</v>
      </c>
      <c r="U1433" s="3">
        <v>42102</v>
      </c>
      <c r="V1433" s="4">
        <v>215.71799999999999</v>
      </c>
      <c r="W1433">
        <v>5</v>
      </c>
      <c r="X1433">
        <v>61.1</v>
      </c>
      <c r="Y1433" s="7">
        <v>91017</v>
      </c>
    </row>
    <row r="1434" spans="1:25" ht="12.75" customHeight="1">
      <c r="A1434">
        <v>22840</v>
      </c>
      <c r="B1434" t="s">
        <v>37</v>
      </c>
      <c r="C1434" s="4">
        <v>0.02</v>
      </c>
      <c r="D1434" s="8">
        <v>178.47</v>
      </c>
      <c r="E1434" s="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 s="5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 s="7">
        <v>32708</v>
      </c>
      <c r="T1434" s="3">
        <v>42101</v>
      </c>
      <c r="U1434" s="3">
        <v>42102</v>
      </c>
      <c r="V1434" s="4">
        <v>106.98479999999999</v>
      </c>
      <c r="W1434">
        <v>1</v>
      </c>
      <c r="X1434">
        <v>193.81</v>
      </c>
      <c r="Y1434" s="7">
        <v>91017</v>
      </c>
    </row>
    <row r="1435" spans="1:25" ht="12.75" customHeight="1">
      <c r="A1435">
        <v>19031</v>
      </c>
      <c r="B1435" t="s">
        <v>56</v>
      </c>
      <c r="C1435" s="4">
        <v>0.05</v>
      </c>
      <c r="D1435" s="8">
        <v>15.68</v>
      </c>
      <c r="E1435" s="4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 s="5">
        <v>0.46</v>
      </c>
      <c r="O1435" t="s">
        <v>33</v>
      </c>
      <c r="P1435" t="s">
        <v>136</v>
      </c>
      <c r="Q1435" t="s">
        <v>137</v>
      </c>
      <c r="R1435" t="s">
        <v>1567</v>
      </c>
      <c r="S1435" s="7">
        <v>23223</v>
      </c>
      <c r="T1435" s="3">
        <v>42166</v>
      </c>
      <c r="U1435" s="3">
        <v>42167</v>
      </c>
      <c r="V1435" s="4">
        <v>3.54</v>
      </c>
      <c r="W1435">
        <v>17</v>
      </c>
      <c r="X1435">
        <v>257.48</v>
      </c>
      <c r="Y1435" s="7">
        <v>87917</v>
      </c>
    </row>
    <row r="1436" spans="1:25" ht="12.75" customHeight="1">
      <c r="A1436">
        <v>19032</v>
      </c>
      <c r="B1436" t="s">
        <v>56</v>
      </c>
      <c r="C1436" s="4">
        <v>0.02</v>
      </c>
      <c r="D1436" s="8">
        <v>195.99</v>
      </c>
      <c r="E1436" s="4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 s="5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 s="7">
        <v>23223</v>
      </c>
      <c r="T1436" s="3">
        <v>42166</v>
      </c>
      <c r="U1436" s="3">
        <v>42167</v>
      </c>
      <c r="V1436" s="4">
        <v>40.283999999999999</v>
      </c>
      <c r="W1436">
        <v>19</v>
      </c>
      <c r="X1436">
        <v>3194.99</v>
      </c>
      <c r="Y1436" s="7">
        <v>87917</v>
      </c>
    </row>
    <row r="1437" spans="1:25" ht="12.75" customHeight="1">
      <c r="A1437">
        <v>19902</v>
      </c>
      <c r="B1437" t="s">
        <v>56</v>
      </c>
      <c r="C1437" s="4">
        <v>0.01</v>
      </c>
      <c r="D1437" s="8">
        <v>99.99</v>
      </c>
      <c r="E1437" s="4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 s="5">
        <v>0.52</v>
      </c>
      <c r="O1437" t="s">
        <v>33</v>
      </c>
      <c r="P1437" t="s">
        <v>136</v>
      </c>
      <c r="Q1437" t="s">
        <v>137</v>
      </c>
      <c r="R1437" t="s">
        <v>1193</v>
      </c>
      <c r="S1437" s="7">
        <v>22153</v>
      </c>
      <c r="T1437" s="3">
        <v>42073</v>
      </c>
      <c r="U1437" s="3">
        <v>42075</v>
      </c>
      <c r="V1437" s="4">
        <v>90.024000000000001</v>
      </c>
      <c r="W1437">
        <v>2</v>
      </c>
      <c r="X1437">
        <v>202.98</v>
      </c>
      <c r="Y1437" s="7">
        <v>87915</v>
      </c>
    </row>
    <row r="1438" spans="1:25" ht="12.75" customHeight="1">
      <c r="A1438">
        <v>25460</v>
      </c>
      <c r="B1438" t="s">
        <v>106</v>
      </c>
      <c r="C1438" s="4">
        <v>7.0000000000000007E-2</v>
      </c>
      <c r="D1438" s="8">
        <v>6.48</v>
      </c>
      <c r="E1438" s="4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 s="5">
        <v>0.37</v>
      </c>
      <c r="O1438" t="s">
        <v>33</v>
      </c>
      <c r="P1438" t="s">
        <v>136</v>
      </c>
      <c r="Q1438" t="s">
        <v>137</v>
      </c>
      <c r="R1438" t="s">
        <v>2383</v>
      </c>
      <c r="S1438" s="7">
        <v>23464</v>
      </c>
      <c r="T1438" s="3">
        <v>42113</v>
      </c>
      <c r="U1438" s="3">
        <v>42113</v>
      </c>
      <c r="V1438" s="4">
        <v>2.2320000000000002</v>
      </c>
      <c r="W1438">
        <v>1</v>
      </c>
      <c r="X1438">
        <v>10.86</v>
      </c>
      <c r="Y1438" s="7">
        <v>87916</v>
      </c>
    </row>
    <row r="1439" spans="1:25" ht="12.75" customHeight="1">
      <c r="A1439">
        <v>6525</v>
      </c>
      <c r="B1439" t="s">
        <v>106</v>
      </c>
      <c r="C1439" s="4">
        <v>0</v>
      </c>
      <c r="D1439" s="8">
        <v>35.99</v>
      </c>
      <c r="E1439" s="4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 s="5">
        <v>0.35</v>
      </c>
      <c r="O1439" t="s">
        <v>33</v>
      </c>
      <c r="P1439" t="s">
        <v>34</v>
      </c>
      <c r="Q1439" t="s">
        <v>45</v>
      </c>
      <c r="R1439" t="s">
        <v>663</v>
      </c>
      <c r="S1439" s="7">
        <v>90068</v>
      </c>
      <c r="T1439" s="3">
        <v>42098</v>
      </c>
      <c r="U1439" s="3">
        <v>42105</v>
      </c>
      <c r="V1439" s="4">
        <v>840.05099999999993</v>
      </c>
      <c r="W1439">
        <v>46</v>
      </c>
      <c r="X1439">
        <v>1477.57</v>
      </c>
      <c r="Y1439" s="7">
        <v>46436</v>
      </c>
    </row>
    <row r="1440" spans="1:25" ht="12.75" customHeight="1">
      <c r="A1440">
        <v>5777</v>
      </c>
      <c r="B1440" t="s">
        <v>106</v>
      </c>
      <c r="C1440" s="4">
        <v>0.05</v>
      </c>
      <c r="D1440" s="8">
        <v>30.98</v>
      </c>
      <c r="E1440" s="4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 s="5">
        <v>0.4</v>
      </c>
      <c r="O1440" t="s">
        <v>33</v>
      </c>
      <c r="P1440" t="s">
        <v>34</v>
      </c>
      <c r="Q1440" t="s">
        <v>45</v>
      </c>
      <c r="R1440" t="s">
        <v>663</v>
      </c>
      <c r="S1440" s="7">
        <v>90068</v>
      </c>
      <c r="T1440" s="3">
        <v>42115</v>
      </c>
      <c r="U1440" s="3">
        <v>42115</v>
      </c>
      <c r="V1440" s="4">
        <v>61.47</v>
      </c>
      <c r="W1440">
        <v>12</v>
      </c>
      <c r="X1440">
        <v>382.29</v>
      </c>
      <c r="Y1440" s="7">
        <v>40997</v>
      </c>
    </row>
    <row r="1441" spans="1:25" ht="12.75" customHeight="1">
      <c r="A1441">
        <v>5778</v>
      </c>
      <c r="B1441" t="s">
        <v>106</v>
      </c>
      <c r="C1441" s="4">
        <v>0.05</v>
      </c>
      <c r="D1441" s="8">
        <v>22.99</v>
      </c>
      <c r="E1441" s="4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 s="5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 s="7">
        <v>90068</v>
      </c>
      <c r="T1441" s="3">
        <v>42115</v>
      </c>
      <c r="U1441" s="3">
        <v>42122</v>
      </c>
      <c r="V1441" s="4">
        <v>18.27</v>
      </c>
      <c r="W1441">
        <v>37</v>
      </c>
      <c r="X1441">
        <v>881.74</v>
      </c>
      <c r="Y1441" s="7">
        <v>40997</v>
      </c>
    </row>
    <row r="1442" spans="1:25" ht="12.75" customHeight="1">
      <c r="A1442">
        <v>5780</v>
      </c>
      <c r="B1442" t="s">
        <v>106</v>
      </c>
      <c r="C1442" s="4">
        <v>0.04</v>
      </c>
      <c r="D1442" s="8">
        <v>212.6</v>
      </c>
      <c r="E1442" s="4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 s="5">
        <v>0.73</v>
      </c>
      <c r="O1442" t="s">
        <v>33</v>
      </c>
      <c r="P1442" t="s">
        <v>34</v>
      </c>
      <c r="Q1442" t="s">
        <v>45</v>
      </c>
      <c r="R1442" t="s">
        <v>663</v>
      </c>
      <c r="S1442" s="7">
        <v>90068</v>
      </c>
      <c r="T1442" s="3">
        <v>42115</v>
      </c>
      <c r="U1442" s="3">
        <v>42119</v>
      </c>
      <c r="V1442" s="4">
        <v>-513.79042000000004</v>
      </c>
      <c r="W1442">
        <v>33</v>
      </c>
      <c r="X1442">
        <v>7384.18</v>
      </c>
      <c r="Y1442" s="7">
        <v>40997</v>
      </c>
    </row>
    <row r="1443" spans="1:25" ht="12.75" customHeight="1">
      <c r="A1443">
        <v>4204</v>
      </c>
      <c r="B1443" t="s">
        <v>37</v>
      </c>
      <c r="C1443" s="4">
        <v>0.09</v>
      </c>
      <c r="D1443" s="8">
        <v>5.98</v>
      </c>
      <c r="E1443" s="4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 s="5">
        <v>0.51</v>
      </c>
      <c r="O1443" t="s">
        <v>33</v>
      </c>
      <c r="P1443" t="s">
        <v>34</v>
      </c>
      <c r="Q1443" t="s">
        <v>45</v>
      </c>
      <c r="R1443" t="s">
        <v>663</v>
      </c>
      <c r="S1443" s="7">
        <v>90068</v>
      </c>
      <c r="T1443" s="3">
        <v>42159</v>
      </c>
      <c r="U1443" s="3">
        <v>42162</v>
      </c>
      <c r="V1443" s="4">
        <v>23.87</v>
      </c>
      <c r="W1443">
        <v>81</v>
      </c>
      <c r="X1443">
        <v>448.26</v>
      </c>
      <c r="Y1443" s="7">
        <v>29889</v>
      </c>
    </row>
    <row r="1444" spans="1:25" ht="12.75" customHeight="1">
      <c r="A1444">
        <v>23777</v>
      </c>
      <c r="B1444" t="s">
        <v>106</v>
      </c>
      <c r="C1444" s="4">
        <v>0.05</v>
      </c>
      <c r="D1444" s="8">
        <v>30.98</v>
      </c>
      <c r="E1444" s="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 s="5">
        <v>0.4</v>
      </c>
      <c r="O1444" t="s">
        <v>33</v>
      </c>
      <c r="P1444" t="s">
        <v>53</v>
      </c>
      <c r="Q1444" t="s">
        <v>154</v>
      </c>
      <c r="R1444" t="s">
        <v>2389</v>
      </c>
      <c r="S1444" s="7">
        <v>43213</v>
      </c>
      <c r="T1444" s="3">
        <v>42115</v>
      </c>
      <c r="U1444" s="3">
        <v>42115</v>
      </c>
      <c r="V1444" s="4">
        <v>61.47</v>
      </c>
      <c r="W1444">
        <v>3</v>
      </c>
      <c r="X1444">
        <v>95.57</v>
      </c>
      <c r="Y1444" s="7">
        <v>88657</v>
      </c>
    </row>
    <row r="1445" spans="1:25" ht="12.75" customHeight="1">
      <c r="A1445">
        <v>23778</v>
      </c>
      <c r="B1445" t="s">
        <v>106</v>
      </c>
      <c r="C1445" s="4">
        <v>0.05</v>
      </c>
      <c r="D1445" s="8">
        <v>22.99</v>
      </c>
      <c r="E1445" s="4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 s="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 s="7">
        <v>43213</v>
      </c>
      <c r="T1445" s="3">
        <v>42115</v>
      </c>
      <c r="U1445" s="3">
        <v>42122</v>
      </c>
      <c r="V1445" s="4">
        <v>18.27</v>
      </c>
      <c r="W1445">
        <v>9</v>
      </c>
      <c r="X1445">
        <v>214.48</v>
      </c>
      <c r="Y1445" s="7">
        <v>88657</v>
      </c>
    </row>
    <row r="1446" spans="1:25" ht="12.75" customHeight="1">
      <c r="A1446">
        <v>23780</v>
      </c>
      <c r="B1446" t="s">
        <v>106</v>
      </c>
      <c r="C1446" s="4">
        <v>0.04</v>
      </c>
      <c r="D1446" s="8">
        <v>212.6</v>
      </c>
      <c r="E1446" s="4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 s="5">
        <v>0.73</v>
      </c>
      <c r="O1446" t="s">
        <v>33</v>
      </c>
      <c r="P1446" t="s">
        <v>53</v>
      </c>
      <c r="Q1446" t="s">
        <v>154</v>
      </c>
      <c r="R1446" t="s">
        <v>2389</v>
      </c>
      <c r="S1446" s="7">
        <v>43213</v>
      </c>
      <c r="T1446" s="3">
        <v>42115</v>
      </c>
      <c r="U1446" s="3">
        <v>42119</v>
      </c>
      <c r="V1446" s="4">
        <v>-513.79042000000004</v>
      </c>
      <c r="W1446">
        <v>8</v>
      </c>
      <c r="X1446">
        <v>1790.1</v>
      </c>
      <c r="Y1446" s="7">
        <v>88657</v>
      </c>
    </row>
    <row r="1447" spans="1:25" ht="12.75" customHeight="1">
      <c r="A1447">
        <v>22204</v>
      </c>
      <c r="B1447" t="s">
        <v>37</v>
      </c>
      <c r="C1447" s="4">
        <v>0.09</v>
      </c>
      <c r="D1447" s="8">
        <v>5.98</v>
      </c>
      <c r="E1447" s="4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 s="5">
        <v>0.51</v>
      </c>
      <c r="O1447" t="s">
        <v>33</v>
      </c>
      <c r="P1447" t="s">
        <v>53</v>
      </c>
      <c r="Q1447" t="s">
        <v>154</v>
      </c>
      <c r="R1447" t="s">
        <v>2389</v>
      </c>
      <c r="S1447" s="7">
        <v>43213</v>
      </c>
      <c r="T1447" s="3">
        <v>42159</v>
      </c>
      <c r="U1447" s="3">
        <v>42162</v>
      </c>
      <c r="V1447" s="4">
        <v>35.805</v>
      </c>
      <c r="W1447">
        <v>20</v>
      </c>
      <c r="X1447">
        <v>110.68</v>
      </c>
      <c r="Y1447" s="7">
        <v>88658</v>
      </c>
    </row>
    <row r="1448" spans="1:25" ht="12.75" customHeight="1">
      <c r="A1448">
        <v>24525</v>
      </c>
      <c r="B1448" t="s">
        <v>106</v>
      </c>
      <c r="C1448" s="4">
        <v>0</v>
      </c>
      <c r="D1448" s="8">
        <v>35.99</v>
      </c>
      <c r="E1448" s="4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 s="5">
        <v>0.35</v>
      </c>
      <c r="O1448" t="s">
        <v>33</v>
      </c>
      <c r="P1448" t="s">
        <v>53</v>
      </c>
      <c r="Q1448" t="s">
        <v>234</v>
      </c>
      <c r="R1448" t="s">
        <v>2391</v>
      </c>
      <c r="S1448" s="7">
        <v>17403</v>
      </c>
      <c r="T1448" s="3">
        <v>42098</v>
      </c>
      <c r="U1448" s="3">
        <v>42105</v>
      </c>
      <c r="V1448" s="4">
        <v>265.96049999999997</v>
      </c>
      <c r="W1448">
        <v>12</v>
      </c>
      <c r="X1448">
        <v>385.45</v>
      </c>
      <c r="Y1448" s="7">
        <v>88656</v>
      </c>
    </row>
    <row r="1449" spans="1:25" ht="12.75" customHeight="1">
      <c r="A1449">
        <v>18130</v>
      </c>
      <c r="B1449" t="s">
        <v>56</v>
      </c>
      <c r="C1449" s="4">
        <v>0.03</v>
      </c>
      <c r="D1449" s="8">
        <v>12.53</v>
      </c>
      <c r="E1449" s="4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 s="5">
        <v>0.38</v>
      </c>
      <c r="O1449" t="s">
        <v>33</v>
      </c>
      <c r="P1449" t="s">
        <v>61</v>
      </c>
      <c r="Q1449" t="s">
        <v>1858</v>
      </c>
      <c r="R1449" t="s">
        <v>2394</v>
      </c>
      <c r="S1449" s="7">
        <v>53142</v>
      </c>
      <c r="T1449" s="3">
        <v>42047</v>
      </c>
      <c r="U1449" s="3">
        <v>42048</v>
      </c>
      <c r="V1449" s="4">
        <v>-20.320500000000003</v>
      </c>
      <c r="W1449">
        <v>1</v>
      </c>
      <c r="X1449">
        <v>19.32</v>
      </c>
      <c r="Y1449" s="7">
        <v>86528</v>
      </c>
    </row>
    <row r="1450" spans="1:25" ht="12.75" customHeight="1">
      <c r="A1450">
        <v>23666</v>
      </c>
      <c r="B1450" t="s">
        <v>106</v>
      </c>
      <c r="C1450" s="4">
        <v>0.1</v>
      </c>
      <c r="D1450" s="8">
        <v>2.6</v>
      </c>
      <c r="E1450" s="4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 s="5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 s="7">
        <v>53711</v>
      </c>
      <c r="T1450" s="3">
        <v>42013</v>
      </c>
      <c r="U1450" s="3">
        <v>42018</v>
      </c>
      <c r="V1450" s="4">
        <v>-88.039999999999992</v>
      </c>
      <c r="W1450">
        <v>12</v>
      </c>
      <c r="X1450">
        <v>30.1</v>
      </c>
      <c r="Y1450" s="7">
        <v>86527</v>
      </c>
    </row>
    <row r="1451" spans="1:25" ht="12.75" customHeight="1">
      <c r="A1451">
        <v>23583</v>
      </c>
      <c r="B1451" t="s">
        <v>47</v>
      </c>
      <c r="C1451" s="4">
        <v>0</v>
      </c>
      <c r="D1451" s="8">
        <v>12.97</v>
      </c>
      <c r="E1451" s="4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 s="5">
        <v>0.35</v>
      </c>
      <c r="O1451" t="s">
        <v>33</v>
      </c>
      <c r="P1451" t="s">
        <v>61</v>
      </c>
      <c r="Q1451" t="s">
        <v>1858</v>
      </c>
      <c r="R1451" t="s">
        <v>1279</v>
      </c>
      <c r="S1451" s="7">
        <v>53711</v>
      </c>
      <c r="T1451" s="3">
        <v>42037</v>
      </c>
      <c r="U1451" s="3">
        <v>42038</v>
      </c>
      <c r="V1451" s="4">
        <v>180.23489999999998</v>
      </c>
      <c r="W1451">
        <v>19</v>
      </c>
      <c r="X1451">
        <v>261.20999999999998</v>
      </c>
      <c r="Y1451" s="7">
        <v>86529</v>
      </c>
    </row>
    <row r="1452" spans="1:25" ht="12.75" customHeight="1">
      <c r="A1452">
        <v>23584</v>
      </c>
      <c r="B1452" t="s">
        <v>47</v>
      </c>
      <c r="C1452" s="4">
        <v>0.06</v>
      </c>
      <c r="D1452" s="8">
        <v>4.91</v>
      </c>
      <c r="E1452" s="4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 s="5">
        <v>0.36</v>
      </c>
      <c r="O1452" t="s">
        <v>33</v>
      </c>
      <c r="P1452" t="s">
        <v>61</v>
      </c>
      <c r="Q1452" t="s">
        <v>1858</v>
      </c>
      <c r="R1452" t="s">
        <v>1279</v>
      </c>
      <c r="S1452" s="7">
        <v>53711</v>
      </c>
      <c r="T1452" s="3">
        <v>42037</v>
      </c>
      <c r="U1452" s="3">
        <v>42037</v>
      </c>
      <c r="V1452" s="4">
        <v>29.525099999999998</v>
      </c>
      <c r="W1452">
        <v>9</v>
      </c>
      <c r="X1452">
        <v>42.79</v>
      </c>
      <c r="Y1452" s="7">
        <v>86529</v>
      </c>
    </row>
    <row r="1453" spans="1:25" ht="12.75" customHeight="1">
      <c r="A1453">
        <v>19840</v>
      </c>
      <c r="B1453" t="s">
        <v>37</v>
      </c>
      <c r="C1453" s="4">
        <v>0.03</v>
      </c>
      <c r="D1453" s="8">
        <v>160.97999999999999</v>
      </c>
      <c r="E1453" s="4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 s="5">
        <v>0.62</v>
      </c>
      <c r="O1453" t="s">
        <v>33</v>
      </c>
      <c r="P1453" t="s">
        <v>53</v>
      </c>
      <c r="Q1453" t="s">
        <v>71</v>
      </c>
      <c r="R1453" t="s">
        <v>2397</v>
      </c>
      <c r="S1453" s="7">
        <v>10562</v>
      </c>
      <c r="T1453" s="3">
        <v>42085</v>
      </c>
      <c r="U1453" s="3">
        <v>42088</v>
      </c>
      <c r="V1453" s="4">
        <v>1261.4718</v>
      </c>
      <c r="W1453">
        <v>11</v>
      </c>
      <c r="X1453">
        <v>1828.22</v>
      </c>
      <c r="Y1453" s="7">
        <v>86465</v>
      </c>
    </row>
    <row r="1454" spans="1:25" ht="12.75" customHeight="1">
      <c r="A1454">
        <v>23161</v>
      </c>
      <c r="B1454" t="s">
        <v>37</v>
      </c>
      <c r="C1454" s="4">
        <v>7.0000000000000007E-2</v>
      </c>
      <c r="D1454" s="8">
        <v>3.98</v>
      </c>
      <c r="E1454" s="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 s="5">
        <v>0.38</v>
      </c>
      <c r="O1454" t="s">
        <v>33</v>
      </c>
      <c r="P1454" t="s">
        <v>53</v>
      </c>
      <c r="Q1454" t="s">
        <v>71</v>
      </c>
      <c r="R1454" t="s">
        <v>2397</v>
      </c>
      <c r="S1454" s="7">
        <v>10562</v>
      </c>
      <c r="T1454" s="3">
        <v>42102</v>
      </c>
      <c r="U1454" s="3">
        <v>42104</v>
      </c>
      <c r="V1454" s="4">
        <v>-59.963760000000001</v>
      </c>
      <c r="W1454">
        <v>7</v>
      </c>
      <c r="X1454">
        <v>29.77</v>
      </c>
      <c r="Y1454" s="7">
        <v>86466</v>
      </c>
    </row>
    <row r="1455" spans="1:25" ht="12.75" customHeight="1">
      <c r="A1455">
        <v>23162</v>
      </c>
      <c r="B1455" t="s">
        <v>37</v>
      </c>
      <c r="C1455" s="4">
        <v>7.0000000000000007E-2</v>
      </c>
      <c r="D1455" s="8">
        <v>12.22</v>
      </c>
      <c r="E1455" s="4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 s="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 s="7">
        <v>10562</v>
      </c>
      <c r="T1455" s="3">
        <v>42102</v>
      </c>
      <c r="U1455" s="3">
        <v>42102</v>
      </c>
      <c r="V1455" s="4">
        <v>89.4148</v>
      </c>
      <c r="W1455">
        <v>12</v>
      </c>
      <c r="X1455">
        <v>147.19</v>
      </c>
      <c r="Y1455" s="7">
        <v>86466</v>
      </c>
    </row>
    <row r="1456" spans="1:25" ht="12.75" customHeight="1">
      <c r="A1456">
        <v>22374</v>
      </c>
      <c r="B1456" t="s">
        <v>37</v>
      </c>
      <c r="C1456" s="4">
        <v>0.08</v>
      </c>
      <c r="D1456" s="8">
        <v>4.55</v>
      </c>
      <c r="E1456" s="4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 s="5">
        <v>0.35</v>
      </c>
      <c r="O1456" t="s">
        <v>33</v>
      </c>
      <c r="P1456" t="s">
        <v>61</v>
      </c>
      <c r="Q1456" t="s">
        <v>62</v>
      </c>
      <c r="R1456" t="s">
        <v>2400</v>
      </c>
      <c r="S1456" s="7">
        <v>55432</v>
      </c>
      <c r="T1456" s="3">
        <v>42102</v>
      </c>
      <c r="U1456" s="3">
        <v>42103</v>
      </c>
      <c r="V1456" s="4">
        <v>27.0273</v>
      </c>
      <c r="W1456">
        <v>9</v>
      </c>
      <c r="X1456">
        <v>39.17</v>
      </c>
      <c r="Y1456" s="7">
        <v>91447</v>
      </c>
    </row>
    <row r="1457" spans="1:25" ht="12.75" customHeight="1">
      <c r="A1457">
        <v>25095</v>
      </c>
      <c r="B1457" t="s">
        <v>47</v>
      </c>
      <c r="C1457" s="4">
        <v>0</v>
      </c>
      <c r="D1457" s="8">
        <v>4.37</v>
      </c>
      <c r="E1457" s="4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 s="5">
        <v>0.59</v>
      </c>
      <c r="O1457" t="s">
        <v>33</v>
      </c>
      <c r="P1457" t="s">
        <v>34</v>
      </c>
      <c r="Q1457" t="s">
        <v>45</v>
      </c>
      <c r="R1457" t="s">
        <v>2402</v>
      </c>
      <c r="S1457" s="7">
        <v>95616</v>
      </c>
      <c r="T1457" s="3">
        <v>42119</v>
      </c>
      <c r="U1457" s="3">
        <v>42121</v>
      </c>
      <c r="V1457" s="4">
        <v>-150.2604</v>
      </c>
      <c r="W1457">
        <v>19</v>
      </c>
      <c r="X1457">
        <v>87.85</v>
      </c>
      <c r="Y1457" s="7">
        <v>90327</v>
      </c>
    </row>
    <row r="1458" spans="1:25" ht="12.75" customHeight="1">
      <c r="A1458">
        <v>25096</v>
      </c>
      <c r="B1458" t="s">
        <v>47</v>
      </c>
      <c r="C1458" s="4">
        <v>0.01</v>
      </c>
      <c r="D1458" s="8">
        <v>500.98</v>
      </c>
      <c r="E1458" s="4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 s="5">
        <v>0.6</v>
      </c>
      <c r="O1458" t="s">
        <v>33</v>
      </c>
      <c r="P1458" t="s">
        <v>34</v>
      </c>
      <c r="Q1458" t="s">
        <v>45</v>
      </c>
      <c r="R1458" t="s">
        <v>2402</v>
      </c>
      <c r="S1458" s="7">
        <v>95616</v>
      </c>
      <c r="T1458" s="3">
        <v>42119</v>
      </c>
      <c r="U1458" s="3">
        <v>42120</v>
      </c>
      <c r="V1458" s="4">
        <v>4899.1288000000004</v>
      </c>
      <c r="W1458">
        <v>14</v>
      </c>
      <c r="X1458">
        <v>7429.63</v>
      </c>
      <c r="Y1458" s="7">
        <v>90327</v>
      </c>
    </row>
    <row r="1459" spans="1:25" ht="12.75" customHeight="1">
      <c r="A1459">
        <v>25097</v>
      </c>
      <c r="B1459" t="s">
        <v>47</v>
      </c>
      <c r="C1459" s="4">
        <v>0.02</v>
      </c>
      <c r="D1459" s="8">
        <v>12.58</v>
      </c>
      <c r="E1459" s="4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 s="5">
        <v>0.43</v>
      </c>
      <c r="O1459" t="s">
        <v>33</v>
      </c>
      <c r="P1459" t="s">
        <v>34</v>
      </c>
      <c r="Q1459" t="s">
        <v>45</v>
      </c>
      <c r="R1459" t="s">
        <v>2402</v>
      </c>
      <c r="S1459" s="7">
        <v>95616</v>
      </c>
      <c r="T1459" s="3">
        <v>42119</v>
      </c>
      <c r="U1459" s="3">
        <v>42119</v>
      </c>
      <c r="V1459" s="4">
        <v>44.712000000000003</v>
      </c>
      <c r="W1459">
        <v>18</v>
      </c>
      <c r="X1459">
        <v>224.29</v>
      </c>
      <c r="Y1459" s="7">
        <v>90327</v>
      </c>
    </row>
    <row r="1460" spans="1:25" ht="12.75" customHeight="1">
      <c r="A1460">
        <v>25098</v>
      </c>
      <c r="B1460" t="s">
        <v>47</v>
      </c>
      <c r="C1460" s="4">
        <v>0.1</v>
      </c>
      <c r="D1460" s="8">
        <v>7.7</v>
      </c>
      <c r="E1460" s="4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 s="5">
        <v>0.52</v>
      </c>
      <c r="O1460" t="s">
        <v>33</v>
      </c>
      <c r="P1460" t="s">
        <v>34</v>
      </c>
      <c r="Q1460" t="s">
        <v>45</v>
      </c>
      <c r="R1460" t="s">
        <v>2402</v>
      </c>
      <c r="S1460" s="7">
        <v>95616</v>
      </c>
      <c r="T1460" s="3">
        <v>42119</v>
      </c>
      <c r="U1460" s="3">
        <v>42120</v>
      </c>
      <c r="V1460" s="4">
        <v>-22.626000000000001</v>
      </c>
      <c r="W1460">
        <v>7</v>
      </c>
      <c r="X1460">
        <v>51.2</v>
      </c>
      <c r="Y1460" s="7">
        <v>90327</v>
      </c>
    </row>
    <row r="1461" spans="1:25" ht="12.75" customHeight="1">
      <c r="A1461">
        <v>7096</v>
      </c>
      <c r="B1461" t="s">
        <v>47</v>
      </c>
      <c r="C1461" s="4">
        <v>0.01</v>
      </c>
      <c r="D1461" s="8">
        <v>500.98</v>
      </c>
      <c r="E1461" s="4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 s="5">
        <v>0.6</v>
      </c>
      <c r="O1461" t="s">
        <v>33</v>
      </c>
      <c r="P1461" t="s">
        <v>53</v>
      </c>
      <c r="Q1461" t="s">
        <v>71</v>
      </c>
      <c r="R1461" t="s">
        <v>90</v>
      </c>
      <c r="S1461" s="7">
        <v>10165</v>
      </c>
      <c r="T1461" s="3">
        <v>42119</v>
      </c>
      <c r="U1461" s="3">
        <v>42120</v>
      </c>
      <c r="V1461" s="4">
        <v>4260.1120000000001</v>
      </c>
      <c r="W1461">
        <v>56</v>
      </c>
      <c r="X1461">
        <v>29718.53</v>
      </c>
      <c r="Y1461" s="7">
        <v>50656</v>
      </c>
    </row>
    <row r="1462" spans="1:25" ht="12.75" customHeight="1">
      <c r="A1462">
        <v>7098</v>
      </c>
      <c r="B1462" t="s">
        <v>47</v>
      </c>
      <c r="C1462" s="4">
        <v>0.1</v>
      </c>
      <c r="D1462" s="8">
        <v>7.7</v>
      </c>
      <c r="E1462" s="4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 s="5">
        <v>0.52</v>
      </c>
      <c r="O1462" t="s">
        <v>33</v>
      </c>
      <c r="P1462" t="s">
        <v>53</v>
      </c>
      <c r="Q1462" t="s">
        <v>71</v>
      </c>
      <c r="R1462" t="s">
        <v>90</v>
      </c>
      <c r="S1462" s="7">
        <v>10165</v>
      </c>
      <c r="T1462" s="3">
        <v>42119</v>
      </c>
      <c r="U1462" s="3">
        <v>42120</v>
      </c>
      <c r="V1462" s="4">
        <v>-25.14</v>
      </c>
      <c r="W1462">
        <v>27</v>
      </c>
      <c r="X1462">
        <v>197.48</v>
      </c>
      <c r="Y1462" s="7">
        <v>50656</v>
      </c>
    </row>
    <row r="1463" spans="1:25" ht="12.75" customHeight="1">
      <c r="A1463">
        <v>20938</v>
      </c>
      <c r="B1463" t="s">
        <v>106</v>
      </c>
      <c r="C1463" s="4">
        <v>0.04</v>
      </c>
      <c r="D1463" s="8">
        <v>8.6</v>
      </c>
      <c r="E1463" s="4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 s="5">
        <v>0.38</v>
      </c>
      <c r="O1463" t="s">
        <v>33</v>
      </c>
      <c r="P1463" t="s">
        <v>136</v>
      </c>
      <c r="Q1463" t="s">
        <v>1278</v>
      </c>
      <c r="R1463" t="s">
        <v>2407</v>
      </c>
      <c r="S1463" s="7">
        <v>36801</v>
      </c>
      <c r="T1463" s="3">
        <v>42126</v>
      </c>
      <c r="U1463" s="3">
        <v>42128</v>
      </c>
      <c r="V1463" s="4">
        <v>309.71159999999998</v>
      </c>
      <c r="W1463">
        <v>5</v>
      </c>
      <c r="X1463">
        <v>46.85</v>
      </c>
      <c r="Y1463" s="7">
        <v>88298</v>
      </c>
    </row>
    <row r="1464" spans="1:25" ht="12.75" customHeight="1">
      <c r="A1464">
        <v>20939</v>
      </c>
      <c r="B1464" t="s">
        <v>106</v>
      </c>
      <c r="C1464" s="4">
        <v>0.01</v>
      </c>
      <c r="D1464" s="8">
        <v>3.58</v>
      </c>
      <c r="E1464" s="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 s="5">
        <v>0.36</v>
      </c>
      <c r="O1464" t="s">
        <v>33</v>
      </c>
      <c r="P1464" t="s">
        <v>136</v>
      </c>
      <c r="Q1464" t="s">
        <v>1278</v>
      </c>
      <c r="R1464" t="s">
        <v>2407</v>
      </c>
      <c r="S1464" s="7">
        <v>36801</v>
      </c>
      <c r="T1464" s="3">
        <v>42126</v>
      </c>
      <c r="U1464" s="3">
        <v>42130</v>
      </c>
      <c r="V1464" s="4">
        <v>-128.85599999999999</v>
      </c>
      <c r="W1464">
        <v>26</v>
      </c>
      <c r="X1464">
        <v>93.57</v>
      </c>
      <c r="Y1464" s="7">
        <v>88298</v>
      </c>
    </row>
    <row r="1465" spans="1:25" ht="12.75" customHeight="1">
      <c r="A1465">
        <v>20940</v>
      </c>
      <c r="B1465" t="s">
        <v>106</v>
      </c>
      <c r="C1465" s="4">
        <v>0.08</v>
      </c>
      <c r="D1465" s="8">
        <v>105.49</v>
      </c>
      <c r="E1465" s="4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 s="5">
        <v>0.75</v>
      </c>
      <c r="O1465" t="s">
        <v>33</v>
      </c>
      <c r="P1465" t="s">
        <v>136</v>
      </c>
      <c r="Q1465" t="s">
        <v>1278</v>
      </c>
      <c r="R1465" t="s">
        <v>2407</v>
      </c>
      <c r="S1465" s="7">
        <v>36801</v>
      </c>
      <c r="T1465" s="3">
        <v>42126</v>
      </c>
      <c r="U1465" s="3">
        <v>42133</v>
      </c>
      <c r="V1465" s="4">
        <v>-36.945999999999998</v>
      </c>
      <c r="W1465">
        <v>34</v>
      </c>
      <c r="X1465">
        <v>2694.49</v>
      </c>
      <c r="Y1465" s="7">
        <v>88298</v>
      </c>
    </row>
    <row r="1466" spans="1:25" ht="12.75" customHeight="1">
      <c r="A1466">
        <v>23705</v>
      </c>
      <c r="B1466" t="s">
        <v>25</v>
      </c>
      <c r="C1466" s="4">
        <v>0.09</v>
      </c>
      <c r="D1466" s="8">
        <v>212.6</v>
      </c>
      <c r="E1466" s="4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 s="5">
        <v>0.64</v>
      </c>
      <c r="O1466" t="s">
        <v>33</v>
      </c>
      <c r="P1466" t="s">
        <v>136</v>
      </c>
      <c r="Q1466" t="s">
        <v>1278</v>
      </c>
      <c r="R1466" t="s">
        <v>2410</v>
      </c>
      <c r="S1466" s="7">
        <v>36869</v>
      </c>
      <c r="T1466" s="3">
        <v>42007</v>
      </c>
      <c r="U1466" s="3">
        <v>42008</v>
      </c>
      <c r="V1466" s="4">
        <v>-274.49799999999999</v>
      </c>
      <c r="W1466">
        <v>1</v>
      </c>
      <c r="X1466">
        <v>174.5</v>
      </c>
      <c r="Y1466" s="7">
        <v>88296</v>
      </c>
    </row>
    <row r="1467" spans="1:25" ht="12.75" customHeight="1">
      <c r="A1467">
        <v>22508</v>
      </c>
      <c r="B1467" t="s">
        <v>56</v>
      </c>
      <c r="C1467" s="4">
        <v>7.0000000000000007E-2</v>
      </c>
      <c r="D1467" s="8">
        <v>1.76</v>
      </c>
      <c r="E1467" s="4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 s="5">
        <v>0.41</v>
      </c>
      <c r="O1467" t="s">
        <v>33</v>
      </c>
      <c r="P1467" t="s">
        <v>136</v>
      </c>
      <c r="Q1467" t="s">
        <v>1278</v>
      </c>
      <c r="R1467" t="s">
        <v>2410</v>
      </c>
      <c r="S1467" s="7">
        <v>36869</v>
      </c>
      <c r="T1467" s="3">
        <v>42021</v>
      </c>
      <c r="U1467" s="3">
        <v>42021</v>
      </c>
      <c r="V1467" s="4">
        <v>0.58800000000001096</v>
      </c>
      <c r="W1467">
        <v>15</v>
      </c>
      <c r="X1467">
        <v>26.01</v>
      </c>
      <c r="Y1467" s="7">
        <v>88297</v>
      </c>
    </row>
    <row r="1468" spans="1:25" ht="12.75" customHeight="1">
      <c r="A1468">
        <v>19123</v>
      </c>
      <c r="B1468" t="s">
        <v>56</v>
      </c>
      <c r="C1468" s="4">
        <v>0.04</v>
      </c>
      <c r="D1468" s="8">
        <v>510.14</v>
      </c>
      <c r="E1468" s="4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 s="5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 s="7">
        <v>49423</v>
      </c>
      <c r="T1468" s="3">
        <v>42162</v>
      </c>
      <c r="U1468" s="3">
        <v>42164</v>
      </c>
      <c r="V1468" s="4">
        <v>-251.40390000000002</v>
      </c>
      <c r="W1468">
        <v>3</v>
      </c>
      <c r="X1468">
        <v>1527.97</v>
      </c>
      <c r="Y1468" s="7">
        <v>89657</v>
      </c>
    </row>
    <row r="1469" spans="1:25" ht="12.75" customHeight="1">
      <c r="A1469">
        <v>19124</v>
      </c>
      <c r="B1469" t="s">
        <v>56</v>
      </c>
      <c r="C1469" s="4">
        <v>0</v>
      </c>
      <c r="D1469" s="8">
        <v>4.76</v>
      </c>
      <c r="E1469" s="4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 s="5">
        <v>0.36</v>
      </c>
      <c r="O1469" t="s">
        <v>33</v>
      </c>
      <c r="P1469" t="s">
        <v>61</v>
      </c>
      <c r="Q1469" t="s">
        <v>300</v>
      </c>
      <c r="R1469" t="s">
        <v>2413</v>
      </c>
      <c r="S1469" s="7">
        <v>49423</v>
      </c>
      <c r="T1469" s="3">
        <v>42162</v>
      </c>
      <c r="U1469" s="3">
        <v>42164</v>
      </c>
      <c r="V1469" s="4">
        <v>-2.3450000000000002</v>
      </c>
      <c r="W1469">
        <v>23</v>
      </c>
      <c r="X1469">
        <v>110.86</v>
      </c>
      <c r="Y1469" s="7">
        <v>89657</v>
      </c>
    </row>
    <row r="1470" spans="1:25" ht="12.75" customHeight="1">
      <c r="A1470">
        <v>19134</v>
      </c>
      <c r="B1470" t="s">
        <v>47</v>
      </c>
      <c r="C1470" s="4">
        <v>0.04</v>
      </c>
      <c r="D1470" s="8">
        <v>6.3</v>
      </c>
      <c r="E1470" s="4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 s="5">
        <v>0.39</v>
      </c>
      <c r="O1470" t="s">
        <v>33</v>
      </c>
      <c r="P1470" t="s">
        <v>61</v>
      </c>
      <c r="Q1470" t="s">
        <v>300</v>
      </c>
      <c r="R1470" t="s">
        <v>2416</v>
      </c>
      <c r="S1470" s="7">
        <v>48141</v>
      </c>
      <c r="T1470" s="3">
        <v>42164</v>
      </c>
      <c r="U1470" s="3">
        <v>42166</v>
      </c>
      <c r="V1470" s="4">
        <v>67.606200000000001</v>
      </c>
      <c r="W1470">
        <v>15</v>
      </c>
      <c r="X1470">
        <v>97.98</v>
      </c>
      <c r="Y1470" s="7">
        <v>89658</v>
      </c>
    </row>
    <row r="1471" spans="1:25" ht="12.75" customHeight="1">
      <c r="A1471">
        <v>20976</v>
      </c>
      <c r="B1471" t="s">
        <v>56</v>
      </c>
      <c r="C1471" s="4">
        <v>0.01</v>
      </c>
      <c r="D1471" s="8">
        <v>6.48</v>
      </c>
      <c r="E1471" s="4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 s="5">
        <v>0.37</v>
      </c>
      <c r="O1471" t="s">
        <v>33</v>
      </c>
      <c r="P1471" t="s">
        <v>61</v>
      </c>
      <c r="Q1471" t="s">
        <v>1858</v>
      </c>
      <c r="R1471" t="s">
        <v>2419</v>
      </c>
      <c r="S1471" s="7">
        <v>54220</v>
      </c>
      <c r="T1471" s="3">
        <v>42063</v>
      </c>
      <c r="U1471" s="3">
        <v>42063</v>
      </c>
      <c r="V1471" s="4">
        <v>-46.5244</v>
      </c>
      <c r="W1471">
        <v>18</v>
      </c>
      <c r="X1471">
        <v>127.83</v>
      </c>
      <c r="Y1471" s="7">
        <v>91166</v>
      </c>
    </row>
    <row r="1472" spans="1:25" ht="12.75" customHeight="1">
      <c r="A1472">
        <v>20810</v>
      </c>
      <c r="B1472" t="s">
        <v>37</v>
      </c>
      <c r="C1472" s="4">
        <v>0.02</v>
      </c>
      <c r="D1472" s="8">
        <v>22.72</v>
      </c>
      <c r="E1472" s="4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 s="5">
        <v>0.44</v>
      </c>
      <c r="O1472" t="s">
        <v>33</v>
      </c>
      <c r="P1472" t="s">
        <v>61</v>
      </c>
      <c r="Q1472" t="s">
        <v>1858</v>
      </c>
      <c r="R1472" t="s">
        <v>2419</v>
      </c>
      <c r="S1472" s="7">
        <v>54220</v>
      </c>
      <c r="T1472" s="3">
        <v>42181</v>
      </c>
      <c r="U1472" s="3">
        <v>42181</v>
      </c>
      <c r="V1472" s="4">
        <v>200.01719999999997</v>
      </c>
      <c r="W1472">
        <v>12</v>
      </c>
      <c r="X1472">
        <v>289.88</v>
      </c>
      <c r="Y1472" s="7">
        <v>91167</v>
      </c>
    </row>
    <row r="1473" spans="1:25" ht="12.75" customHeight="1">
      <c r="A1473">
        <v>22275</v>
      </c>
      <c r="B1473" t="s">
        <v>106</v>
      </c>
      <c r="C1473" s="4">
        <v>0.02</v>
      </c>
      <c r="D1473" s="8">
        <v>419.19</v>
      </c>
      <c r="E1473" s="4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 s="5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 s="7">
        <v>30605</v>
      </c>
      <c r="T1473" s="3">
        <v>42111</v>
      </c>
      <c r="U1473" s="3">
        <v>42111</v>
      </c>
      <c r="V1473" s="4">
        <v>-39.606000000000002</v>
      </c>
      <c r="W1473">
        <v>10</v>
      </c>
      <c r="X1473">
        <v>4354.55</v>
      </c>
      <c r="Y1473" s="7">
        <v>87772</v>
      </c>
    </row>
    <row r="1474" spans="1:25" ht="12.75" customHeight="1">
      <c r="A1474">
        <v>23765</v>
      </c>
      <c r="B1474" t="s">
        <v>106</v>
      </c>
      <c r="C1474" s="4">
        <v>0.01</v>
      </c>
      <c r="D1474" s="8">
        <v>85.99</v>
      </c>
      <c r="E1474" s="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 s="5">
        <v>0.85</v>
      </c>
      <c r="O1474" t="s">
        <v>33</v>
      </c>
      <c r="P1474" t="s">
        <v>136</v>
      </c>
      <c r="Q1474" t="s">
        <v>387</v>
      </c>
      <c r="R1474" t="s">
        <v>2421</v>
      </c>
      <c r="S1474" s="7">
        <v>30605</v>
      </c>
      <c r="T1474" s="3">
        <v>42075</v>
      </c>
      <c r="U1474" s="3">
        <v>42080</v>
      </c>
      <c r="V1474" s="4">
        <v>311.72999999999996</v>
      </c>
      <c r="W1474">
        <v>2</v>
      </c>
      <c r="X1474">
        <v>146.16999999999999</v>
      </c>
      <c r="Y1474" s="7">
        <v>87773</v>
      </c>
    </row>
    <row r="1475" spans="1:25" ht="12.75" customHeight="1">
      <c r="A1475">
        <v>19859</v>
      </c>
      <c r="B1475" t="s">
        <v>106</v>
      </c>
      <c r="C1475" s="4">
        <v>0.05</v>
      </c>
      <c r="D1475" s="8">
        <v>5.74</v>
      </c>
      <c r="E1475" s="4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 s="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 s="7">
        <v>3054</v>
      </c>
      <c r="T1475" s="3">
        <v>42084</v>
      </c>
      <c r="U1475" s="3">
        <v>42089</v>
      </c>
      <c r="V1475" s="4">
        <v>-50.75</v>
      </c>
      <c r="W1475">
        <v>7</v>
      </c>
      <c r="X1475">
        <v>42.02</v>
      </c>
      <c r="Y1475" s="7">
        <v>87382</v>
      </c>
    </row>
    <row r="1476" spans="1:25" ht="12.75" customHeight="1">
      <c r="A1476">
        <v>20849</v>
      </c>
      <c r="B1476" t="s">
        <v>47</v>
      </c>
      <c r="C1476" s="4">
        <v>7.0000000000000007E-2</v>
      </c>
      <c r="D1476" s="8">
        <v>200.99</v>
      </c>
      <c r="E1476" s="4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 s="5">
        <v>0.59</v>
      </c>
      <c r="O1476" t="s">
        <v>33</v>
      </c>
      <c r="P1476" t="s">
        <v>53</v>
      </c>
      <c r="Q1476" t="s">
        <v>54</v>
      </c>
      <c r="R1476" t="s">
        <v>2426</v>
      </c>
      <c r="S1476" s="7">
        <v>7601</v>
      </c>
      <c r="T1476" s="3">
        <v>42099</v>
      </c>
      <c r="U1476" s="3">
        <v>42100</v>
      </c>
      <c r="V1476" s="4">
        <v>2225.0761200000002</v>
      </c>
      <c r="W1476">
        <v>22</v>
      </c>
      <c r="X1476">
        <v>3705.14</v>
      </c>
      <c r="Y1476" s="7">
        <v>87383</v>
      </c>
    </row>
    <row r="1477" spans="1:25" ht="12.75" customHeight="1">
      <c r="A1477">
        <v>20850</v>
      </c>
      <c r="B1477" t="s">
        <v>47</v>
      </c>
      <c r="C1477" s="4">
        <v>0.01</v>
      </c>
      <c r="D1477" s="8">
        <v>297.48</v>
      </c>
      <c r="E1477" s="4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 s="5">
        <v>0.6</v>
      </c>
      <c r="O1477" t="s">
        <v>33</v>
      </c>
      <c r="P1477" t="s">
        <v>53</v>
      </c>
      <c r="Q1477" t="s">
        <v>54</v>
      </c>
      <c r="R1477" t="s">
        <v>2428</v>
      </c>
      <c r="S1477" s="7">
        <v>8830</v>
      </c>
      <c r="T1477" s="3">
        <v>42099</v>
      </c>
      <c r="U1477" s="3">
        <v>42100</v>
      </c>
      <c r="V1477" s="4">
        <v>-338.18083200000001</v>
      </c>
      <c r="W1477">
        <v>3</v>
      </c>
      <c r="X1477">
        <v>945.36</v>
      </c>
      <c r="Y1477" s="7">
        <v>87383</v>
      </c>
    </row>
    <row r="1478" spans="1:25" ht="12.75" customHeight="1">
      <c r="A1478">
        <v>18046</v>
      </c>
      <c r="B1478" t="s">
        <v>25</v>
      </c>
      <c r="C1478" s="4">
        <v>0.09</v>
      </c>
      <c r="D1478" s="8">
        <v>5.4</v>
      </c>
      <c r="E1478" s="4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 s="5">
        <v>0.37</v>
      </c>
      <c r="O1478" t="s">
        <v>33</v>
      </c>
      <c r="P1478" t="s">
        <v>34</v>
      </c>
      <c r="Q1478" t="s">
        <v>45</v>
      </c>
      <c r="R1478" t="s">
        <v>2402</v>
      </c>
      <c r="S1478" s="7">
        <v>95616</v>
      </c>
      <c r="T1478" s="3">
        <v>42140</v>
      </c>
      <c r="U1478" s="3">
        <v>42141</v>
      </c>
      <c r="V1478" s="4">
        <v>-136.25200000000001</v>
      </c>
      <c r="W1478">
        <v>9</v>
      </c>
      <c r="X1478">
        <v>49.24</v>
      </c>
      <c r="Y1478" s="7">
        <v>86118</v>
      </c>
    </row>
    <row r="1479" spans="1:25" ht="12.75" customHeight="1">
      <c r="A1479">
        <v>19971</v>
      </c>
      <c r="B1479" t="s">
        <v>106</v>
      </c>
      <c r="C1479" s="4">
        <v>0.02</v>
      </c>
      <c r="D1479" s="8">
        <v>50.98</v>
      </c>
      <c r="E1479" s="4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 s="5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 s="7">
        <v>8863</v>
      </c>
      <c r="T1479" s="3">
        <v>42028</v>
      </c>
      <c r="U1479" s="3">
        <v>42028</v>
      </c>
      <c r="V1479" s="4">
        <v>-25.76</v>
      </c>
      <c r="W1479">
        <v>1</v>
      </c>
      <c r="X1479">
        <v>68.45</v>
      </c>
      <c r="Y1479" s="7">
        <v>86119</v>
      </c>
    </row>
    <row r="1480" spans="1:25" ht="12.75" customHeight="1">
      <c r="A1480">
        <v>25962</v>
      </c>
      <c r="B1480" t="s">
        <v>47</v>
      </c>
      <c r="C1480" s="4">
        <v>0</v>
      </c>
      <c r="D1480" s="8">
        <v>2.6</v>
      </c>
      <c r="E1480" s="4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 s="5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 s="7">
        <v>49002</v>
      </c>
      <c r="T1480" s="3">
        <v>42074</v>
      </c>
      <c r="U1480" s="3">
        <v>42076</v>
      </c>
      <c r="V1480" s="4">
        <v>-45.21</v>
      </c>
      <c r="W1480">
        <v>16</v>
      </c>
      <c r="X1480">
        <v>44.75</v>
      </c>
      <c r="Y1480" s="7">
        <v>91495</v>
      </c>
    </row>
    <row r="1481" spans="1:25" ht="12.75" customHeight="1">
      <c r="A1481">
        <v>25478</v>
      </c>
      <c r="B1481" t="s">
        <v>37</v>
      </c>
      <c r="C1481" s="4">
        <v>0.1</v>
      </c>
      <c r="D1481" s="8">
        <v>3.25</v>
      </c>
      <c r="E1481" s="4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 s="5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 s="7">
        <v>57401</v>
      </c>
      <c r="T1481" s="3">
        <v>42182</v>
      </c>
      <c r="U1481" s="3">
        <v>42183</v>
      </c>
      <c r="V1481" s="4">
        <v>-286.245</v>
      </c>
      <c r="W1481">
        <v>6</v>
      </c>
      <c r="X1481">
        <v>40.69</v>
      </c>
      <c r="Y1481" s="7">
        <v>91496</v>
      </c>
    </row>
    <row r="1482" spans="1:25" ht="12.75" customHeight="1">
      <c r="A1482">
        <v>6585</v>
      </c>
      <c r="B1482" t="s">
        <v>56</v>
      </c>
      <c r="C1482" s="4">
        <v>0.1</v>
      </c>
      <c r="D1482" s="8">
        <v>7.64</v>
      </c>
      <c r="E1482" s="4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 s="5">
        <v>0.36</v>
      </c>
      <c r="O1482" t="s">
        <v>33</v>
      </c>
      <c r="P1482" t="s">
        <v>53</v>
      </c>
      <c r="Q1482" t="s">
        <v>71</v>
      </c>
      <c r="R1482" t="s">
        <v>90</v>
      </c>
      <c r="S1482" s="7">
        <v>10004</v>
      </c>
      <c r="T1482" s="3">
        <v>42021</v>
      </c>
      <c r="U1482" s="3">
        <v>42023</v>
      </c>
      <c r="V1482" s="4">
        <v>16.12</v>
      </c>
      <c r="W1482">
        <v>18</v>
      </c>
      <c r="X1482">
        <v>130.11000000000001</v>
      </c>
      <c r="Y1482" s="7">
        <v>46884</v>
      </c>
    </row>
    <row r="1483" spans="1:25" ht="12.75" customHeight="1">
      <c r="A1483">
        <v>6586</v>
      </c>
      <c r="B1483" t="s">
        <v>56</v>
      </c>
      <c r="C1483" s="4">
        <v>0</v>
      </c>
      <c r="D1483" s="8">
        <v>125.99</v>
      </c>
      <c r="E1483" s="4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 s="5">
        <v>0.59</v>
      </c>
      <c r="O1483" t="s">
        <v>33</v>
      </c>
      <c r="P1483" t="s">
        <v>53</v>
      </c>
      <c r="Q1483" t="s">
        <v>71</v>
      </c>
      <c r="R1483" t="s">
        <v>90</v>
      </c>
      <c r="S1483" s="7">
        <v>10004</v>
      </c>
      <c r="T1483" s="3">
        <v>42021</v>
      </c>
      <c r="U1483" s="3">
        <v>42023</v>
      </c>
      <c r="V1483" s="4">
        <v>-815.90079999999989</v>
      </c>
      <c r="W1483">
        <v>3</v>
      </c>
      <c r="X1483">
        <v>337.34</v>
      </c>
      <c r="Y1483" s="7">
        <v>46884</v>
      </c>
    </row>
    <row r="1484" spans="1:25" ht="12.75" customHeight="1">
      <c r="A1484">
        <v>6587</v>
      </c>
      <c r="B1484" t="s">
        <v>56</v>
      </c>
      <c r="C1484" s="4">
        <v>0.1</v>
      </c>
      <c r="D1484" s="8">
        <v>11.55</v>
      </c>
      <c r="E1484" s="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 s="5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 s="7">
        <v>10004</v>
      </c>
      <c r="T1484" s="3">
        <v>42021</v>
      </c>
      <c r="U1484" s="3">
        <v>42022</v>
      </c>
      <c r="V1484" s="4">
        <v>15.808000000000003</v>
      </c>
      <c r="W1484">
        <v>25</v>
      </c>
      <c r="X1484">
        <v>280.43</v>
      </c>
      <c r="Y1484" s="7">
        <v>46884</v>
      </c>
    </row>
    <row r="1485" spans="1:25" ht="12.75" customHeight="1">
      <c r="A1485">
        <v>4788</v>
      </c>
      <c r="B1485" t="s">
        <v>25</v>
      </c>
      <c r="C1485" s="4">
        <v>0.05</v>
      </c>
      <c r="D1485" s="8">
        <v>4.84</v>
      </c>
      <c r="E1485" s="4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 s="5">
        <v>0.52</v>
      </c>
      <c r="O1485" t="s">
        <v>33</v>
      </c>
      <c r="P1485" t="s">
        <v>53</v>
      </c>
      <c r="Q1485" t="s">
        <v>71</v>
      </c>
      <c r="R1485" t="s">
        <v>90</v>
      </c>
      <c r="S1485" s="7">
        <v>10004</v>
      </c>
      <c r="T1485" s="3">
        <v>42086</v>
      </c>
      <c r="U1485" s="3">
        <v>42086</v>
      </c>
      <c r="V1485" s="4">
        <v>29.17</v>
      </c>
      <c r="W1485">
        <v>20</v>
      </c>
      <c r="X1485">
        <v>103.39</v>
      </c>
      <c r="Y1485" s="7">
        <v>34017</v>
      </c>
    </row>
    <row r="1486" spans="1:25" ht="12.75" customHeight="1">
      <c r="A1486">
        <v>4789</v>
      </c>
      <c r="B1486" t="s">
        <v>25</v>
      </c>
      <c r="C1486" s="4">
        <v>0.01</v>
      </c>
      <c r="D1486" s="8">
        <v>14.98</v>
      </c>
      <c r="E1486" s="4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 s="5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 s="7">
        <v>10004</v>
      </c>
      <c r="T1486" s="3">
        <v>42086</v>
      </c>
      <c r="U1486" s="3">
        <v>42088</v>
      </c>
      <c r="V1486" s="4">
        <v>-48.97</v>
      </c>
      <c r="W1486">
        <v>28</v>
      </c>
      <c r="X1486">
        <v>435.39</v>
      </c>
      <c r="Y1486" s="7">
        <v>34017</v>
      </c>
    </row>
    <row r="1487" spans="1:25" ht="12.75" customHeight="1">
      <c r="A1487">
        <v>7452</v>
      </c>
      <c r="B1487" t="s">
        <v>47</v>
      </c>
      <c r="C1487" s="4">
        <v>0.1</v>
      </c>
      <c r="D1487" s="8">
        <v>20.27</v>
      </c>
      <c r="E1487" s="4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 s="5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 s="7">
        <v>10004</v>
      </c>
      <c r="T1487" s="3">
        <v>42086</v>
      </c>
      <c r="U1487" s="3">
        <v>42087</v>
      </c>
      <c r="V1487" s="4">
        <v>84.05</v>
      </c>
      <c r="W1487">
        <v>53</v>
      </c>
      <c r="X1487">
        <v>1051.52</v>
      </c>
      <c r="Y1487" s="7">
        <v>53153</v>
      </c>
    </row>
    <row r="1488" spans="1:25" ht="12.75" customHeight="1">
      <c r="A1488">
        <v>22788</v>
      </c>
      <c r="B1488" t="s">
        <v>25</v>
      </c>
      <c r="C1488" s="4">
        <v>0.05</v>
      </c>
      <c r="D1488" s="8">
        <v>4.84</v>
      </c>
      <c r="E1488" s="4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 s="5">
        <v>0.52</v>
      </c>
      <c r="O1488" t="s">
        <v>33</v>
      </c>
      <c r="P1488" t="s">
        <v>61</v>
      </c>
      <c r="Q1488" t="s">
        <v>2193</v>
      </c>
      <c r="R1488" t="s">
        <v>2441</v>
      </c>
      <c r="S1488" s="7">
        <v>57103</v>
      </c>
      <c r="T1488" s="3">
        <v>42086</v>
      </c>
      <c r="U1488" s="3">
        <v>42086</v>
      </c>
      <c r="V1488" s="4">
        <v>17.836500000000001</v>
      </c>
      <c r="W1488">
        <v>5</v>
      </c>
      <c r="X1488">
        <v>25.85</v>
      </c>
      <c r="Y1488" s="7">
        <v>88014</v>
      </c>
    </row>
    <row r="1489" spans="1:25" ht="12.75" customHeight="1">
      <c r="A1489">
        <v>18461</v>
      </c>
      <c r="B1489" t="s">
        <v>37</v>
      </c>
      <c r="C1489" s="4">
        <v>0.1</v>
      </c>
      <c r="D1489" s="8">
        <v>30.98</v>
      </c>
      <c r="E1489" s="4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 s="5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 s="7">
        <v>57103</v>
      </c>
      <c r="T1489" s="3">
        <v>42044</v>
      </c>
      <c r="U1489" s="3">
        <v>42046</v>
      </c>
      <c r="V1489" s="4">
        <v>-20.222799999999999</v>
      </c>
      <c r="W1489">
        <v>4</v>
      </c>
      <c r="X1489">
        <v>119.37</v>
      </c>
      <c r="Y1489" s="7">
        <v>88015</v>
      </c>
    </row>
    <row r="1490" spans="1:25" ht="12.75" customHeight="1">
      <c r="A1490">
        <v>25452</v>
      </c>
      <c r="B1490" t="s">
        <v>47</v>
      </c>
      <c r="C1490" s="4">
        <v>0.1</v>
      </c>
      <c r="D1490" s="8">
        <v>20.27</v>
      </c>
      <c r="E1490" s="4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 s="5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 s="7">
        <v>38134</v>
      </c>
      <c r="T1490" s="3">
        <v>42086</v>
      </c>
      <c r="U1490" s="3">
        <v>42087</v>
      </c>
      <c r="V1490" s="4">
        <v>381.61799999999994</v>
      </c>
      <c r="W1490">
        <v>13</v>
      </c>
      <c r="X1490">
        <v>257.92</v>
      </c>
      <c r="Y1490" s="7">
        <v>88017</v>
      </c>
    </row>
    <row r="1491" spans="1:25" ht="12.75" customHeight="1">
      <c r="A1491">
        <v>26296</v>
      </c>
      <c r="B1491" t="s">
        <v>25</v>
      </c>
      <c r="C1491" s="4">
        <v>0.03</v>
      </c>
      <c r="D1491" s="8">
        <v>40.97</v>
      </c>
      <c r="E1491" s="4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 s="5">
        <v>0.59</v>
      </c>
      <c r="O1491" t="s">
        <v>33</v>
      </c>
      <c r="P1491" t="s">
        <v>136</v>
      </c>
      <c r="Q1491" t="s">
        <v>244</v>
      </c>
      <c r="R1491" t="s">
        <v>2446</v>
      </c>
      <c r="S1491" s="7">
        <v>37027</v>
      </c>
      <c r="T1491" s="3">
        <v>42082</v>
      </c>
      <c r="U1491" s="3">
        <v>42083</v>
      </c>
      <c r="V1491" s="4">
        <v>-177.05799999999999</v>
      </c>
      <c r="W1491">
        <v>5</v>
      </c>
      <c r="X1491">
        <v>207.22</v>
      </c>
      <c r="Y1491" s="7">
        <v>88016</v>
      </c>
    </row>
    <row r="1492" spans="1:25" ht="12.75" customHeight="1">
      <c r="A1492">
        <v>26032</v>
      </c>
      <c r="B1492" t="s">
        <v>25</v>
      </c>
      <c r="C1492" s="4">
        <v>0.1</v>
      </c>
      <c r="D1492" s="8">
        <v>41.94</v>
      </c>
      <c r="E1492" s="4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 s="5">
        <v>0.35</v>
      </c>
      <c r="O1492" t="s">
        <v>33</v>
      </c>
      <c r="P1492" t="s">
        <v>34</v>
      </c>
      <c r="Q1492" t="s">
        <v>45</v>
      </c>
      <c r="R1492" t="s">
        <v>1456</v>
      </c>
      <c r="S1492" s="7">
        <v>94025</v>
      </c>
      <c r="T1492" s="3">
        <v>42042</v>
      </c>
      <c r="U1492" s="3">
        <v>42043</v>
      </c>
      <c r="V1492" s="4">
        <v>164.08199999999999</v>
      </c>
      <c r="W1492">
        <v>6</v>
      </c>
      <c r="X1492">
        <v>237.8</v>
      </c>
      <c r="Y1492" s="7">
        <v>90927</v>
      </c>
    </row>
    <row r="1493" spans="1:25" ht="12.75" customHeight="1">
      <c r="A1493">
        <v>18623</v>
      </c>
      <c r="B1493" t="s">
        <v>56</v>
      </c>
      <c r="C1493" s="4">
        <v>0.02</v>
      </c>
      <c r="D1493" s="8">
        <v>30.53</v>
      </c>
      <c r="E1493" s="4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 s="5">
        <v>0.39</v>
      </c>
      <c r="O1493" t="s">
        <v>33</v>
      </c>
      <c r="P1493" t="s">
        <v>61</v>
      </c>
      <c r="Q1493" t="s">
        <v>304</v>
      </c>
      <c r="R1493" t="s">
        <v>2289</v>
      </c>
      <c r="S1493" s="7">
        <v>73160</v>
      </c>
      <c r="T1493" s="3">
        <v>42021</v>
      </c>
      <c r="U1493" s="3">
        <v>42023</v>
      </c>
      <c r="V1493" s="4">
        <v>-54.63</v>
      </c>
      <c r="W1493">
        <v>14</v>
      </c>
      <c r="X1493">
        <v>448.47</v>
      </c>
      <c r="Y1493" s="7">
        <v>85916</v>
      </c>
    </row>
    <row r="1494" spans="1:25" ht="12.75" customHeight="1">
      <c r="A1494">
        <v>21981</v>
      </c>
      <c r="B1494" t="s">
        <v>47</v>
      </c>
      <c r="C1494" s="4">
        <v>0.01</v>
      </c>
      <c r="D1494" s="8">
        <v>194.3</v>
      </c>
      <c r="E1494" s="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 s="5">
        <v>0.59</v>
      </c>
      <c r="O1494" t="s">
        <v>33</v>
      </c>
      <c r="P1494" t="s">
        <v>61</v>
      </c>
      <c r="Q1494" t="s">
        <v>304</v>
      </c>
      <c r="R1494" t="s">
        <v>2451</v>
      </c>
      <c r="S1494" s="7">
        <v>73071</v>
      </c>
      <c r="T1494" s="3">
        <v>42009</v>
      </c>
      <c r="U1494" s="3">
        <v>42011</v>
      </c>
      <c r="V1494" s="4">
        <v>690.17939999999999</v>
      </c>
      <c r="W1494">
        <v>5</v>
      </c>
      <c r="X1494">
        <v>1000.26</v>
      </c>
      <c r="Y1494" s="7">
        <v>85914</v>
      </c>
    </row>
    <row r="1495" spans="1:25" ht="12.75" customHeight="1">
      <c r="A1495">
        <v>21982</v>
      </c>
      <c r="B1495" t="s">
        <v>47</v>
      </c>
      <c r="C1495" s="4">
        <v>0.02</v>
      </c>
      <c r="D1495" s="8">
        <v>209.84</v>
      </c>
      <c r="E1495" s="4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 s="5">
        <v>0.59</v>
      </c>
      <c r="O1495" t="s">
        <v>33</v>
      </c>
      <c r="P1495" t="s">
        <v>61</v>
      </c>
      <c r="Q1495" t="s">
        <v>304</v>
      </c>
      <c r="R1495" t="s">
        <v>2451</v>
      </c>
      <c r="S1495" s="7">
        <v>73071</v>
      </c>
      <c r="T1495" s="3">
        <v>42009</v>
      </c>
      <c r="U1495" s="3">
        <v>42010</v>
      </c>
      <c r="V1495" s="4">
        <v>1507.6430999999998</v>
      </c>
      <c r="W1495">
        <v>10</v>
      </c>
      <c r="X1495">
        <v>2184.9899999999998</v>
      </c>
      <c r="Y1495" s="7">
        <v>85914</v>
      </c>
    </row>
    <row r="1496" spans="1:25" ht="12.75" customHeight="1">
      <c r="A1496">
        <v>21983</v>
      </c>
      <c r="B1496" t="s">
        <v>47</v>
      </c>
      <c r="C1496" s="4">
        <v>0</v>
      </c>
      <c r="D1496" s="8">
        <v>145.44999999999999</v>
      </c>
      <c r="E1496" s="4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 s="5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 s="7">
        <v>73071</v>
      </c>
      <c r="T1496" s="3">
        <v>42009</v>
      </c>
      <c r="U1496" s="3">
        <v>42011</v>
      </c>
      <c r="V1496" s="4">
        <v>801.74680000000012</v>
      </c>
      <c r="W1496">
        <v>8</v>
      </c>
      <c r="X1496">
        <v>1191.2</v>
      </c>
      <c r="Y1496" s="7">
        <v>85914</v>
      </c>
    </row>
    <row r="1497" spans="1:25" ht="12.75" customHeight="1">
      <c r="A1497">
        <v>22540</v>
      </c>
      <c r="B1497" t="s">
        <v>25</v>
      </c>
      <c r="C1497" s="4">
        <v>7.0000000000000007E-2</v>
      </c>
      <c r="D1497" s="8">
        <v>65.989999999999995</v>
      </c>
      <c r="E1497" s="4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 s="5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 s="7">
        <v>73071</v>
      </c>
      <c r="T1497" s="3">
        <v>42011</v>
      </c>
      <c r="U1497" s="3">
        <v>42012</v>
      </c>
      <c r="V1497" s="4">
        <v>-139.18256</v>
      </c>
      <c r="W1497">
        <v>3</v>
      </c>
      <c r="X1497">
        <v>165.71</v>
      </c>
      <c r="Y1497" s="7">
        <v>85915</v>
      </c>
    </row>
    <row r="1498" spans="1:25" ht="12.75" customHeight="1">
      <c r="A1498">
        <v>25594</v>
      </c>
      <c r="B1498" t="s">
        <v>106</v>
      </c>
      <c r="C1498" s="4">
        <v>0.05</v>
      </c>
      <c r="D1498" s="8">
        <v>100.97</v>
      </c>
      <c r="E1498" s="4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 s="5">
        <v>0.46</v>
      </c>
      <c r="O1498" t="s">
        <v>33</v>
      </c>
      <c r="P1498" t="s">
        <v>34</v>
      </c>
      <c r="Q1498" t="s">
        <v>1741</v>
      </c>
      <c r="R1498" t="s">
        <v>2454</v>
      </c>
      <c r="S1498" s="7">
        <v>83704</v>
      </c>
      <c r="T1498" s="3">
        <v>42163</v>
      </c>
      <c r="U1498" s="3">
        <v>42163</v>
      </c>
      <c r="V1498" s="4">
        <v>881.46809999999994</v>
      </c>
      <c r="W1498">
        <v>13</v>
      </c>
      <c r="X1498">
        <v>1277.49</v>
      </c>
      <c r="Y1498" s="7">
        <v>90951</v>
      </c>
    </row>
    <row r="1499" spans="1:25" ht="12.75" customHeight="1">
      <c r="A1499">
        <v>21041</v>
      </c>
      <c r="B1499" t="s">
        <v>37</v>
      </c>
      <c r="C1499" s="4">
        <v>0.05</v>
      </c>
      <c r="D1499" s="8">
        <v>4.9800000000000004</v>
      </c>
      <c r="E1499" s="4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 s="5">
        <v>0.39</v>
      </c>
      <c r="O1499" t="s">
        <v>33</v>
      </c>
      <c r="P1499" t="s">
        <v>34</v>
      </c>
      <c r="Q1499" t="s">
        <v>366</v>
      </c>
      <c r="R1499" t="s">
        <v>652</v>
      </c>
      <c r="S1499" s="7">
        <v>88201</v>
      </c>
      <c r="T1499" s="3">
        <v>42082</v>
      </c>
      <c r="U1499" s="3">
        <v>42082</v>
      </c>
      <c r="V1499" s="4">
        <v>3.84</v>
      </c>
      <c r="W1499">
        <v>3</v>
      </c>
      <c r="X1499">
        <v>14.2</v>
      </c>
      <c r="Y1499" s="7">
        <v>90952</v>
      </c>
    </row>
    <row r="1500" spans="1:25" ht="12.75" customHeight="1">
      <c r="A1500">
        <v>22438</v>
      </c>
      <c r="B1500" t="s">
        <v>106</v>
      </c>
      <c r="C1500" s="4">
        <v>0.1</v>
      </c>
      <c r="D1500" s="8">
        <v>10.98</v>
      </c>
      <c r="E1500" s="4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 s="5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 s="7">
        <v>93309</v>
      </c>
      <c r="T1500" s="3">
        <v>42080</v>
      </c>
      <c r="U1500" s="3">
        <v>42087</v>
      </c>
      <c r="V1500" s="4">
        <v>-21.03</v>
      </c>
      <c r="W1500">
        <v>5</v>
      </c>
      <c r="X1500">
        <v>52.21</v>
      </c>
      <c r="Y1500" s="7">
        <v>91386</v>
      </c>
    </row>
    <row r="1501" spans="1:25" ht="12.75" customHeight="1">
      <c r="A1501">
        <v>22439</v>
      </c>
      <c r="B1501" t="s">
        <v>106</v>
      </c>
      <c r="C1501" s="4">
        <v>0.01</v>
      </c>
      <c r="D1501" s="8">
        <v>39.979999999999997</v>
      </c>
      <c r="E1501" s="4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 s="5">
        <v>0.65</v>
      </c>
      <c r="O1501" t="s">
        <v>33</v>
      </c>
      <c r="P1501" t="s">
        <v>34</v>
      </c>
      <c r="Q1501" t="s">
        <v>45</v>
      </c>
      <c r="R1501" t="s">
        <v>2457</v>
      </c>
      <c r="S1501" s="7">
        <v>93309</v>
      </c>
      <c r="T1501" s="3">
        <v>42080</v>
      </c>
      <c r="U1501" s="3">
        <v>42082</v>
      </c>
      <c r="V1501" s="4">
        <v>117.52079999999998</v>
      </c>
      <c r="W1501">
        <v>4</v>
      </c>
      <c r="X1501">
        <v>170.32</v>
      </c>
      <c r="Y1501" s="7">
        <v>91386</v>
      </c>
    </row>
    <row r="1502" spans="1:25" ht="12.75" customHeight="1">
      <c r="A1502">
        <v>18720</v>
      </c>
      <c r="B1502" t="s">
        <v>25</v>
      </c>
      <c r="C1502" s="4">
        <v>0.01</v>
      </c>
      <c r="D1502" s="8">
        <v>39.979999999999997</v>
      </c>
      <c r="E1502" s="4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 s="5">
        <v>0.7</v>
      </c>
      <c r="O1502" t="s">
        <v>33</v>
      </c>
      <c r="P1502" t="s">
        <v>53</v>
      </c>
      <c r="Q1502" t="s">
        <v>415</v>
      </c>
      <c r="R1502" t="s">
        <v>2223</v>
      </c>
      <c r="S1502" s="7">
        <v>21040</v>
      </c>
      <c r="T1502" s="3">
        <v>42166</v>
      </c>
      <c r="U1502" s="3">
        <v>42167</v>
      </c>
      <c r="V1502" s="4">
        <v>-30.808</v>
      </c>
      <c r="W1502">
        <v>5</v>
      </c>
      <c r="X1502">
        <v>203.29</v>
      </c>
      <c r="Y1502" s="7">
        <v>88814</v>
      </c>
    </row>
    <row r="1503" spans="1:25" ht="12.75" customHeight="1">
      <c r="A1503">
        <v>22904</v>
      </c>
      <c r="B1503" t="s">
        <v>47</v>
      </c>
      <c r="C1503" s="4">
        <v>0.05</v>
      </c>
      <c r="D1503" s="8">
        <v>35.99</v>
      </c>
      <c r="E1503" s="4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 s="5">
        <v>0.38</v>
      </c>
      <c r="O1503" t="s">
        <v>33</v>
      </c>
      <c r="P1503" t="s">
        <v>53</v>
      </c>
      <c r="Q1503" t="s">
        <v>234</v>
      </c>
      <c r="R1503" t="s">
        <v>2461</v>
      </c>
      <c r="S1503" s="7">
        <v>15234</v>
      </c>
      <c r="T1503" s="3">
        <v>42128</v>
      </c>
      <c r="U1503" s="3">
        <v>42129</v>
      </c>
      <c r="V1503" s="4">
        <v>524.31719999999996</v>
      </c>
      <c r="W1503">
        <v>26</v>
      </c>
      <c r="X1503">
        <v>759.88</v>
      </c>
      <c r="Y1503" s="7">
        <v>88815</v>
      </c>
    </row>
    <row r="1504" spans="1:25" ht="12.75" customHeight="1">
      <c r="A1504">
        <v>18949</v>
      </c>
      <c r="B1504" t="s">
        <v>56</v>
      </c>
      <c r="C1504" s="4">
        <v>0.06</v>
      </c>
      <c r="D1504" s="8">
        <v>47.9</v>
      </c>
      <c r="E1504" s="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 s="5">
        <v>0.37</v>
      </c>
      <c r="O1504" t="s">
        <v>33</v>
      </c>
      <c r="P1504" t="s">
        <v>34</v>
      </c>
      <c r="Q1504" t="s">
        <v>45</v>
      </c>
      <c r="R1504" t="s">
        <v>2457</v>
      </c>
      <c r="S1504" s="7">
        <v>93309</v>
      </c>
      <c r="T1504" s="3">
        <v>42149</v>
      </c>
      <c r="U1504" s="3">
        <v>42151</v>
      </c>
      <c r="V1504" s="4">
        <v>21.78</v>
      </c>
      <c r="W1504">
        <v>2</v>
      </c>
      <c r="X1504">
        <v>94.2</v>
      </c>
      <c r="Y1504" s="7">
        <v>89361</v>
      </c>
    </row>
    <row r="1505" spans="1:25" ht="12.75" customHeight="1">
      <c r="A1505">
        <v>25662</v>
      </c>
      <c r="B1505" t="s">
        <v>37</v>
      </c>
      <c r="C1505" s="4">
        <v>0.05</v>
      </c>
      <c r="D1505" s="8">
        <v>4.9800000000000004</v>
      </c>
      <c r="E1505" s="4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 s="5">
        <v>0.64</v>
      </c>
      <c r="O1505" t="s">
        <v>33</v>
      </c>
      <c r="P1505" t="s">
        <v>61</v>
      </c>
      <c r="Q1505" t="s">
        <v>183</v>
      </c>
      <c r="R1505" t="s">
        <v>2464</v>
      </c>
      <c r="S1505" s="7">
        <v>67037</v>
      </c>
      <c r="T1505" s="3">
        <v>42057</v>
      </c>
      <c r="U1505" s="3">
        <v>42058</v>
      </c>
      <c r="V1505" s="4">
        <v>-98.35</v>
      </c>
      <c r="W1505">
        <v>7</v>
      </c>
      <c r="X1505">
        <v>34.32</v>
      </c>
      <c r="Y1505" s="7">
        <v>89360</v>
      </c>
    </row>
    <row r="1506" spans="1:25" ht="12.75" customHeight="1">
      <c r="A1506">
        <v>25663</v>
      </c>
      <c r="B1506" t="s">
        <v>37</v>
      </c>
      <c r="C1506" s="4">
        <v>0.02</v>
      </c>
      <c r="D1506" s="8">
        <v>34.229999999999997</v>
      </c>
      <c r="E1506" s="4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 s="5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 s="7">
        <v>67037</v>
      </c>
      <c r="T1506" s="3">
        <v>42057</v>
      </c>
      <c r="U1506" s="3">
        <v>42059</v>
      </c>
      <c r="V1506" s="4">
        <v>270.79049999999995</v>
      </c>
      <c r="W1506">
        <v>11</v>
      </c>
      <c r="X1506">
        <v>392.45</v>
      </c>
      <c r="Y1506" s="7">
        <v>89360</v>
      </c>
    </row>
    <row r="1507" spans="1:25" ht="12.75" customHeight="1">
      <c r="A1507">
        <v>19131</v>
      </c>
      <c r="B1507" t="s">
        <v>56</v>
      </c>
      <c r="C1507" s="4">
        <v>0.09</v>
      </c>
      <c r="D1507" s="8">
        <v>89.99</v>
      </c>
      <c r="E1507" s="4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 s="5">
        <v>0.66</v>
      </c>
      <c r="O1507" t="s">
        <v>33</v>
      </c>
      <c r="P1507" t="s">
        <v>136</v>
      </c>
      <c r="Q1507" t="s">
        <v>387</v>
      </c>
      <c r="R1507" t="s">
        <v>580</v>
      </c>
      <c r="S1507" s="7">
        <v>30318</v>
      </c>
      <c r="T1507" s="3">
        <v>42112</v>
      </c>
      <c r="U1507" s="3">
        <v>42112</v>
      </c>
      <c r="V1507" s="4">
        <v>223.416</v>
      </c>
      <c r="W1507">
        <v>6</v>
      </c>
      <c r="X1507">
        <v>511.25</v>
      </c>
      <c r="Y1507" s="7">
        <v>86063</v>
      </c>
    </row>
    <row r="1508" spans="1:25" ht="12.75" customHeight="1">
      <c r="A1508">
        <v>22938</v>
      </c>
      <c r="B1508" t="s">
        <v>47</v>
      </c>
      <c r="C1508" s="4">
        <v>7.0000000000000007E-2</v>
      </c>
      <c r="D1508" s="8">
        <v>2.94</v>
      </c>
      <c r="E1508" s="4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 s="5">
        <v>0.4</v>
      </c>
      <c r="O1508" t="s">
        <v>33</v>
      </c>
      <c r="P1508" t="s">
        <v>136</v>
      </c>
      <c r="Q1508" t="s">
        <v>387</v>
      </c>
      <c r="R1508" t="s">
        <v>580</v>
      </c>
      <c r="S1508" s="7">
        <v>30318</v>
      </c>
      <c r="T1508" s="3">
        <v>42102</v>
      </c>
      <c r="U1508" s="3">
        <v>42103</v>
      </c>
      <c r="V1508" s="4">
        <v>-93.927400000000006</v>
      </c>
      <c r="W1508">
        <v>10</v>
      </c>
      <c r="X1508">
        <v>29.88</v>
      </c>
      <c r="Y1508" s="7">
        <v>86064</v>
      </c>
    </row>
    <row r="1509" spans="1:25" ht="12.75" customHeight="1">
      <c r="A1509">
        <v>19525</v>
      </c>
      <c r="B1509" t="s">
        <v>47</v>
      </c>
      <c r="C1509" s="4">
        <v>0.01</v>
      </c>
      <c r="D1509" s="8">
        <v>138.13999999999999</v>
      </c>
      <c r="E1509" s="4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 s="7">
        <v>4038</v>
      </c>
      <c r="T1509" s="3">
        <v>42059</v>
      </c>
      <c r="U1509" s="3">
        <v>42061</v>
      </c>
      <c r="V1509" s="4">
        <v>-321.51</v>
      </c>
      <c r="W1509">
        <v>4</v>
      </c>
      <c r="X1509">
        <v>599.03</v>
      </c>
      <c r="Y1509" s="7">
        <v>86486</v>
      </c>
    </row>
    <row r="1510" spans="1:25" ht="12.75" customHeight="1">
      <c r="A1510">
        <v>18400</v>
      </c>
      <c r="B1510" t="s">
        <v>25</v>
      </c>
      <c r="C1510" s="4">
        <v>0.04</v>
      </c>
      <c r="D1510" s="8">
        <v>90.24</v>
      </c>
      <c r="E1510" s="4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 s="5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 s="7">
        <v>44107</v>
      </c>
      <c r="T1510" s="3">
        <v>42096</v>
      </c>
      <c r="U1510" s="3">
        <v>42098</v>
      </c>
      <c r="V1510" s="4">
        <v>246.2748</v>
      </c>
      <c r="W1510">
        <v>4</v>
      </c>
      <c r="X1510">
        <v>356.92</v>
      </c>
      <c r="Y1510" s="7">
        <v>87831</v>
      </c>
    </row>
    <row r="1511" spans="1:25" ht="12.75" customHeight="1">
      <c r="A1511">
        <v>18401</v>
      </c>
      <c r="B1511" t="s">
        <v>25</v>
      </c>
      <c r="C1511" s="4">
        <v>0.09</v>
      </c>
      <c r="D1511" s="8">
        <v>47.9</v>
      </c>
      <c r="E1511" s="4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 s="5">
        <v>0.37</v>
      </c>
      <c r="O1511" t="s">
        <v>33</v>
      </c>
      <c r="P1511" t="s">
        <v>53</v>
      </c>
      <c r="Q1511" t="s">
        <v>154</v>
      </c>
      <c r="R1511" t="s">
        <v>99</v>
      </c>
      <c r="S1511" s="7">
        <v>44107</v>
      </c>
      <c r="T1511" s="3">
        <v>42096</v>
      </c>
      <c r="U1511" s="3">
        <v>42098</v>
      </c>
      <c r="V1511" s="4">
        <v>93.950399999999988</v>
      </c>
      <c r="W1511">
        <v>3</v>
      </c>
      <c r="X1511">
        <v>136.16</v>
      </c>
      <c r="Y1511" s="7">
        <v>87831</v>
      </c>
    </row>
    <row r="1512" spans="1:25" ht="12.75" customHeight="1">
      <c r="A1512">
        <v>19294</v>
      </c>
      <c r="B1512" t="s">
        <v>25</v>
      </c>
      <c r="C1512" s="4">
        <v>0.04</v>
      </c>
      <c r="D1512" s="8">
        <v>10.4</v>
      </c>
      <c r="E1512" s="4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 s="5">
        <v>0.51</v>
      </c>
      <c r="O1512" t="s">
        <v>33</v>
      </c>
      <c r="P1512" t="s">
        <v>61</v>
      </c>
      <c r="Q1512" t="s">
        <v>2193</v>
      </c>
      <c r="R1512" t="s">
        <v>2474</v>
      </c>
      <c r="S1512" s="7">
        <v>57701</v>
      </c>
      <c r="T1512" s="3">
        <v>42091</v>
      </c>
      <c r="U1512" s="3">
        <v>42092</v>
      </c>
      <c r="V1512" s="4">
        <v>29.98</v>
      </c>
      <c r="W1512">
        <v>12</v>
      </c>
      <c r="X1512">
        <v>130.74</v>
      </c>
      <c r="Y1512" s="7">
        <v>87830</v>
      </c>
    </row>
    <row r="1513" spans="1:25" ht="12.75" customHeight="1">
      <c r="A1513">
        <v>19295</v>
      </c>
      <c r="B1513" t="s">
        <v>25</v>
      </c>
      <c r="C1513" s="4">
        <v>0.08</v>
      </c>
      <c r="D1513" s="8">
        <v>4.28</v>
      </c>
      <c r="E1513" s="4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 s="5">
        <v>0.4</v>
      </c>
      <c r="O1513" t="s">
        <v>33</v>
      </c>
      <c r="P1513" t="s">
        <v>61</v>
      </c>
      <c r="Q1513" t="s">
        <v>2193</v>
      </c>
      <c r="R1513" t="s">
        <v>2474</v>
      </c>
      <c r="S1513" s="7">
        <v>57701</v>
      </c>
      <c r="T1513" s="3">
        <v>42091</v>
      </c>
      <c r="U1513" s="3">
        <v>42093</v>
      </c>
      <c r="V1513" s="4">
        <v>-121.2</v>
      </c>
      <c r="W1513">
        <v>12</v>
      </c>
      <c r="X1513">
        <v>49.87</v>
      </c>
      <c r="Y1513" s="7">
        <v>87830</v>
      </c>
    </row>
    <row r="1514" spans="1:25" ht="12.75" customHeight="1">
      <c r="A1514">
        <v>18870</v>
      </c>
      <c r="B1514" t="s">
        <v>37</v>
      </c>
      <c r="C1514" s="4">
        <v>0.06</v>
      </c>
      <c r="D1514" s="8">
        <v>3.93</v>
      </c>
      <c r="E1514" s="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 s="5">
        <v>0.39</v>
      </c>
      <c r="O1514" t="s">
        <v>33</v>
      </c>
      <c r="P1514" t="s">
        <v>61</v>
      </c>
      <c r="Q1514" t="s">
        <v>2193</v>
      </c>
      <c r="R1514" t="s">
        <v>2474</v>
      </c>
      <c r="S1514" s="7">
        <v>57701</v>
      </c>
      <c r="T1514" s="3">
        <v>42115</v>
      </c>
      <c r="U1514" s="3">
        <v>42117</v>
      </c>
      <c r="V1514" s="4">
        <v>10.782400000000001</v>
      </c>
      <c r="W1514">
        <v>6</v>
      </c>
      <c r="X1514">
        <v>24.18</v>
      </c>
      <c r="Y1514" s="7">
        <v>87832</v>
      </c>
    </row>
    <row r="1515" spans="1:25" ht="12.75" customHeight="1">
      <c r="A1515">
        <v>5338</v>
      </c>
      <c r="B1515" t="s">
        <v>25</v>
      </c>
      <c r="C1515" s="4">
        <v>0.05</v>
      </c>
      <c r="D1515" s="8">
        <v>165.2</v>
      </c>
      <c r="E1515" s="4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 s="5">
        <v>0.59</v>
      </c>
      <c r="O1515" t="s">
        <v>33</v>
      </c>
      <c r="P1515" t="s">
        <v>34</v>
      </c>
      <c r="Q1515" t="s">
        <v>45</v>
      </c>
      <c r="R1515" t="s">
        <v>663</v>
      </c>
      <c r="S1515" s="7">
        <v>90049</v>
      </c>
      <c r="T1515" s="3">
        <v>42153</v>
      </c>
      <c r="U1515" s="3">
        <v>42153</v>
      </c>
      <c r="V1515" s="4">
        <v>2008.71</v>
      </c>
      <c r="W1515">
        <v>167</v>
      </c>
      <c r="X1515">
        <v>27587.55</v>
      </c>
      <c r="Y1515" s="7">
        <v>37924</v>
      </c>
    </row>
    <row r="1516" spans="1:25" ht="12.75" customHeight="1">
      <c r="A1516">
        <v>5339</v>
      </c>
      <c r="B1516" t="s">
        <v>25</v>
      </c>
      <c r="C1516" s="4">
        <v>0.09</v>
      </c>
      <c r="D1516" s="8">
        <v>17.989999999999998</v>
      </c>
      <c r="E1516" s="4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 s="5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 s="7">
        <v>90049</v>
      </c>
      <c r="T1516" s="3">
        <v>42153</v>
      </c>
      <c r="U1516" s="3">
        <v>42153</v>
      </c>
      <c r="V1516" s="4">
        <v>-80.53</v>
      </c>
      <c r="W1516">
        <v>71</v>
      </c>
      <c r="X1516">
        <v>1191.58</v>
      </c>
      <c r="Y1516" s="7">
        <v>37924</v>
      </c>
    </row>
    <row r="1517" spans="1:25" ht="12.75" customHeight="1">
      <c r="A1517">
        <v>23338</v>
      </c>
      <c r="B1517" t="s">
        <v>25</v>
      </c>
      <c r="C1517" s="4">
        <v>0.05</v>
      </c>
      <c r="D1517" s="8">
        <v>165.2</v>
      </c>
      <c r="E1517" s="4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 s="5">
        <v>0.59</v>
      </c>
      <c r="O1517" t="s">
        <v>33</v>
      </c>
      <c r="P1517" t="s">
        <v>136</v>
      </c>
      <c r="Q1517" t="s">
        <v>244</v>
      </c>
      <c r="R1517" t="s">
        <v>2446</v>
      </c>
      <c r="S1517" s="7">
        <v>37027</v>
      </c>
      <c r="T1517" s="3">
        <v>42153</v>
      </c>
      <c r="U1517" s="3">
        <v>42153</v>
      </c>
      <c r="V1517" s="4">
        <v>-48.957999999999998</v>
      </c>
      <c r="W1517">
        <v>42</v>
      </c>
      <c r="X1517">
        <v>6938.19</v>
      </c>
      <c r="Y1517" s="7">
        <v>90551</v>
      </c>
    </row>
    <row r="1518" spans="1:25" ht="12.75" customHeight="1">
      <c r="A1518">
        <v>18147</v>
      </c>
      <c r="B1518" t="s">
        <v>47</v>
      </c>
      <c r="C1518" s="4">
        <v>0.03</v>
      </c>
      <c r="D1518" s="8">
        <v>41.32</v>
      </c>
      <c r="E1518" s="4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 s="5">
        <v>0.76</v>
      </c>
      <c r="O1518" t="s">
        <v>33</v>
      </c>
      <c r="P1518" t="s">
        <v>136</v>
      </c>
      <c r="Q1518" t="s">
        <v>137</v>
      </c>
      <c r="R1518" t="s">
        <v>2482</v>
      </c>
      <c r="S1518" s="7">
        <v>22601</v>
      </c>
      <c r="T1518" s="3">
        <v>42171</v>
      </c>
      <c r="U1518" s="3">
        <v>42172</v>
      </c>
      <c r="V1518" s="4">
        <v>-32.816000000000003</v>
      </c>
      <c r="W1518">
        <v>10</v>
      </c>
      <c r="X1518">
        <v>419.27</v>
      </c>
      <c r="Y1518" s="7">
        <v>86633</v>
      </c>
    </row>
    <row r="1519" spans="1:25" ht="12.75" customHeight="1">
      <c r="A1519">
        <v>18148</v>
      </c>
      <c r="B1519" t="s">
        <v>47</v>
      </c>
      <c r="C1519" s="4">
        <v>0</v>
      </c>
      <c r="D1519" s="8">
        <v>6.88</v>
      </c>
      <c r="E1519" s="4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 s="5">
        <v>0.39</v>
      </c>
      <c r="O1519" t="s">
        <v>33</v>
      </c>
      <c r="P1519" t="s">
        <v>136</v>
      </c>
      <c r="Q1519" t="s">
        <v>137</v>
      </c>
      <c r="R1519" t="s">
        <v>2482</v>
      </c>
      <c r="S1519" s="7">
        <v>22601</v>
      </c>
      <c r="T1519" s="3">
        <v>42171</v>
      </c>
      <c r="U1519" s="3">
        <v>42171</v>
      </c>
      <c r="V1519" s="4">
        <v>-15.61</v>
      </c>
      <c r="W1519">
        <v>5</v>
      </c>
      <c r="X1519">
        <v>36</v>
      </c>
      <c r="Y1519" s="7">
        <v>86633</v>
      </c>
    </row>
    <row r="1520" spans="1:25" ht="12.75" customHeight="1">
      <c r="A1520">
        <v>22848</v>
      </c>
      <c r="B1520" t="s">
        <v>106</v>
      </c>
      <c r="C1520" s="4">
        <v>0.09</v>
      </c>
      <c r="D1520" s="8">
        <v>8.74</v>
      </c>
      <c r="E1520" s="4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 s="5">
        <v>0.38</v>
      </c>
      <c r="O1520" t="s">
        <v>33</v>
      </c>
      <c r="P1520" t="s">
        <v>136</v>
      </c>
      <c r="Q1520" t="s">
        <v>362</v>
      </c>
      <c r="R1520" t="s">
        <v>2484</v>
      </c>
      <c r="S1520" s="7">
        <v>33952</v>
      </c>
      <c r="T1520" s="3">
        <v>42050</v>
      </c>
      <c r="U1520" s="3">
        <v>42055</v>
      </c>
      <c r="V1520" s="4">
        <v>23.616</v>
      </c>
      <c r="W1520">
        <v>1</v>
      </c>
      <c r="X1520">
        <v>11.78</v>
      </c>
      <c r="Y1520" s="7">
        <v>89146</v>
      </c>
    </row>
    <row r="1521" spans="1:25" ht="12.75" customHeight="1">
      <c r="A1521">
        <v>22849</v>
      </c>
      <c r="B1521" t="s">
        <v>106</v>
      </c>
      <c r="C1521" s="4">
        <v>0.09</v>
      </c>
      <c r="D1521" s="8">
        <v>18.97</v>
      </c>
      <c r="E1521" s="4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 s="5">
        <v>0.37</v>
      </c>
      <c r="O1521" t="s">
        <v>33</v>
      </c>
      <c r="P1521" t="s">
        <v>136</v>
      </c>
      <c r="Q1521" t="s">
        <v>362</v>
      </c>
      <c r="R1521" t="s">
        <v>2484</v>
      </c>
      <c r="S1521" s="7">
        <v>33952</v>
      </c>
      <c r="T1521" s="3">
        <v>42050</v>
      </c>
      <c r="U1521" s="3">
        <v>42055</v>
      </c>
      <c r="V1521" s="4">
        <v>-1748.0119999999999</v>
      </c>
      <c r="W1521">
        <v>1</v>
      </c>
      <c r="X1521">
        <v>20.96</v>
      </c>
      <c r="Y1521" s="7">
        <v>89146</v>
      </c>
    </row>
    <row r="1522" spans="1:25" ht="12.75" customHeight="1">
      <c r="A1522">
        <v>25649</v>
      </c>
      <c r="B1522" t="s">
        <v>106</v>
      </c>
      <c r="C1522" s="4">
        <v>7.0000000000000007E-2</v>
      </c>
      <c r="D1522" s="8">
        <v>4.97</v>
      </c>
      <c r="E1522" s="4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 s="5">
        <v>0.54</v>
      </c>
      <c r="O1522" t="s">
        <v>33</v>
      </c>
      <c r="P1522" t="s">
        <v>136</v>
      </c>
      <c r="Q1522" t="s">
        <v>362</v>
      </c>
      <c r="R1522" t="s">
        <v>2484</v>
      </c>
      <c r="S1522" s="7">
        <v>33952</v>
      </c>
      <c r="T1522" s="3">
        <v>42104</v>
      </c>
      <c r="U1522" s="3">
        <v>42109</v>
      </c>
      <c r="V1522" s="4">
        <v>-180.15200000000002</v>
      </c>
      <c r="W1522">
        <v>5</v>
      </c>
      <c r="X1522">
        <v>26.66</v>
      </c>
      <c r="Y1522" s="7">
        <v>89148</v>
      </c>
    </row>
    <row r="1523" spans="1:25" ht="12.75" customHeight="1">
      <c r="A1523">
        <v>25650</v>
      </c>
      <c r="B1523" t="s">
        <v>106</v>
      </c>
      <c r="C1523" s="4">
        <v>0.09</v>
      </c>
      <c r="D1523" s="8">
        <v>2.62</v>
      </c>
      <c r="E1523" s="4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 s="5">
        <v>0.39</v>
      </c>
      <c r="O1523" t="s">
        <v>33</v>
      </c>
      <c r="P1523" t="s">
        <v>136</v>
      </c>
      <c r="Q1523" t="s">
        <v>362</v>
      </c>
      <c r="R1523" t="s">
        <v>2484</v>
      </c>
      <c r="S1523" s="7">
        <v>33952</v>
      </c>
      <c r="T1523" s="3">
        <v>42104</v>
      </c>
      <c r="U1523" s="3">
        <v>42106</v>
      </c>
      <c r="V1523" s="4">
        <v>8.3879999999999999</v>
      </c>
      <c r="W1523">
        <v>12</v>
      </c>
      <c r="X1523">
        <v>29.55</v>
      </c>
      <c r="Y1523" s="7">
        <v>89148</v>
      </c>
    </row>
    <row r="1524" spans="1:25" ht="12.75" customHeight="1">
      <c r="A1524">
        <v>25651</v>
      </c>
      <c r="B1524" t="s">
        <v>106</v>
      </c>
      <c r="C1524" s="4">
        <v>0.03</v>
      </c>
      <c r="D1524" s="8">
        <v>65.989999999999995</v>
      </c>
      <c r="E1524" s="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 s="5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 s="7">
        <v>33952</v>
      </c>
      <c r="T1524" s="3">
        <v>42104</v>
      </c>
      <c r="U1524" s="3">
        <v>42104</v>
      </c>
      <c r="V1524" s="4">
        <v>9.939899999999998</v>
      </c>
      <c r="W1524">
        <v>21</v>
      </c>
      <c r="X1524">
        <v>1237.4000000000001</v>
      </c>
      <c r="Y1524" s="7">
        <v>89148</v>
      </c>
    </row>
    <row r="1525" spans="1:25" ht="12.75" customHeight="1">
      <c r="A1525">
        <v>21114</v>
      </c>
      <c r="B1525" t="s">
        <v>25</v>
      </c>
      <c r="C1525" s="4">
        <v>0</v>
      </c>
      <c r="D1525" s="8">
        <v>7.38</v>
      </c>
      <c r="E1525" s="4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 s="5">
        <v>0.36</v>
      </c>
      <c r="O1525" t="s">
        <v>33</v>
      </c>
      <c r="P1525" t="s">
        <v>53</v>
      </c>
      <c r="Q1525" t="s">
        <v>71</v>
      </c>
      <c r="R1525" t="s">
        <v>2488</v>
      </c>
      <c r="S1525" s="7">
        <v>11803</v>
      </c>
      <c r="T1525" s="3">
        <v>42098</v>
      </c>
      <c r="U1525" s="3">
        <v>42099</v>
      </c>
      <c r="V1525" s="4">
        <v>-66.170999999999992</v>
      </c>
      <c r="W1525">
        <v>2</v>
      </c>
      <c r="X1525">
        <v>17.64</v>
      </c>
      <c r="Y1525" s="7">
        <v>89147</v>
      </c>
    </row>
    <row r="1526" spans="1:25" ht="12.75" customHeight="1">
      <c r="A1526">
        <v>23299</v>
      </c>
      <c r="B1526" t="s">
        <v>47</v>
      </c>
      <c r="C1526" s="4">
        <v>0.09</v>
      </c>
      <c r="D1526" s="8">
        <v>3.75</v>
      </c>
      <c r="E1526" s="4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 s="5">
        <v>0.37</v>
      </c>
      <c r="O1526" t="s">
        <v>33</v>
      </c>
      <c r="P1526" t="s">
        <v>53</v>
      </c>
      <c r="Q1526" t="s">
        <v>54</v>
      </c>
      <c r="R1526" t="s">
        <v>2491</v>
      </c>
      <c r="S1526" s="7">
        <v>7011</v>
      </c>
      <c r="T1526" s="3">
        <v>42128</v>
      </c>
      <c r="U1526" s="3">
        <v>42130</v>
      </c>
      <c r="V1526" s="4">
        <v>51.218699999999998</v>
      </c>
      <c r="W1526">
        <v>21</v>
      </c>
      <c r="X1526">
        <v>74.23</v>
      </c>
      <c r="Y1526" s="7">
        <v>90624</v>
      </c>
    </row>
    <row r="1527" spans="1:25" ht="12.75" customHeight="1">
      <c r="A1527">
        <v>23298</v>
      </c>
      <c r="B1527" t="s">
        <v>47</v>
      </c>
      <c r="C1527" s="4">
        <v>0.01</v>
      </c>
      <c r="D1527" s="8">
        <v>30.98</v>
      </c>
      <c r="E1527" s="4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 s="5">
        <v>0.4</v>
      </c>
      <c r="O1527" t="s">
        <v>33</v>
      </c>
      <c r="P1527" t="s">
        <v>53</v>
      </c>
      <c r="Q1527" t="s">
        <v>149</v>
      </c>
      <c r="R1527" t="s">
        <v>1104</v>
      </c>
      <c r="S1527" s="7">
        <v>5201</v>
      </c>
      <c r="T1527" s="3">
        <v>42128</v>
      </c>
      <c r="U1527" s="3">
        <v>42128</v>
      </c>
      <c r="V1527" s="4">
        <v>380.46800000000002</v>
      </c>
      <c r="W1527">
        <v>20</v>
      </c>
      <c r="X1527">
        <v>627.19000000000005</v>
      </c>
      <c r="Y1527" s="7">
        <v>90624</v>
      </c>
    </row>
    <row r="1528" spans="1:25" ht="12.75" customHeight="1">
      <c r="A1528">
        <v>18354</v>
      </c>
      <c r="B1528" t="s">
        <v>47</v>
      </c>
      <c r="C1528" s="4">
        <v>0.05</v>
      </c>
      <c r="D1528" s="8">
        <v>107.53</v>
      </c>
      <c r="E1528" s="4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 s="5">
        <v>0.65</v>
      </c>
      <c r="O1528" t="s">
        <v>33</v>
      </c>
      <c r="P1528" t="s">
        <v>136</v>
      </c>
      <c r="Q1528" t="s">
        <v>1278</v>
      </c>
      <c r="R1528" t="s">
        <v>2494</v>
      </c>
      <c r="S1528" s="7">
        <v>35401</v>
      </c>
      <c r="T1528" s="3">
        <v>42068</v>
      </c>
      <c r="U1528" s="3">
        <v>42069</v>
      </c>
      <c r="V1528" s="4">
        <v>-89.418000000000006</v>
      </c>
      <c r="W1528">
        <v>6</v>
      </c>
      <c r="X1528">
        <v>612.91999999999996</v>
      </c>
      <c r="Y1528" s="7">
        <v>87676</v>
      </c>
    </row>
    <row r="1529" spans="1:25" ht="12.75" customHeight="1">
      <c r="A1529">
        <v>19506</v>
      </c>
      <c r="B1529" t="s">
        <v>47</v>
      </c>
      <c r="C1529" s="4">
        <v>0.04</v>
      </c>
      <c r="D1529" s="8">
        <v>1.74</v>
      </c>
      <c r="E1529" s="4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 s="5">
        <v>0.53</v>
      </c>
      <c r="O1529" t="s">
        <v>33</v>
      </c>
      <c r="P1529" t="s">
        <v>136</v>
      </c>
      <c r="Q1529" t="s">
        <v>1278</v>
      </c>
      <c r="R1529" t="s">
        <v>2496</v>
      </c>
      <c r="S1529" s="7">
        <v>35216</v>
      </c>
      <c r="T1529" s="3">
        <v>42058</v>
      </c>
      <c r="U1529" s="3">
        <v>42060</v>
      </c>
      <c r="V1529" s="4">
        <v>9.2519999999999989</v>
      </c>
      <c r="W1529">
        <v>16</v>
      </c>
      <c r="X1529">
        <v>29.08</v>
      </c>
      <c r="Y1529" s="7">
        <v>87678</v>
      </c>
    </row>
    <row r="1530" spans="1:25" ht="12.75" customHeight="1">
      <c r="A1530">
        <v>19507</v>
      </c>
      <c r="B1530" t="s">
        <v>47</v>
      </c>
      <c r="C1530" s="4">
        <v>0.01</v>
      </c>
      <c r="D1530" s="8">
        <v>119.99</v>
      </c>
      <c r="E1530" s="4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 s="5">
        <v>0.39</v>
      </c>
      <c r="O1530" t="s">
        <v>33</v>
      </c>
      <c r="P1530" t="s">
        <v>136</v>
      </c>
      <c r="Q1530" t="s">
        <v>1278</v>
      </c>
      <c r="R1530" t="s">
        <v>2496</v>
      </c>
      <c r="S1530" s="7">
        <v>35216</v>
      </c>
      <c r="T1530" s="3">
        <v>42058</v>
      </c>
      <c r="U1530" s="3">
        <v>42059</v>
      </c>
      <c r="V1530" s="4">
        <v>-1197.0419999999999</v>
      </c>
      <c r="W1530">
        <v>21</v>
      </c>
      <c r="X1530">
        <v>2569.5700000000002</v>
      </c>
      <c r="Y1530" s="7">
        <v>87678</v>
      </c>
    </row>
    <row r="1531" spans="1:25">
      <c r="A1531">
        <v>21580</v>
      </c>
      <c r="B1531" t="s">
        <v>47</v>
      </c>
      <c r="C1531" s="4">
        <v>0.06</v>
      </c>
      <c r="D1531" s="8">
        <v>4.9800000000000004</v>
      </c>
      <c r="E1531" s="4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 s="5">
        <v>0.37</v>
      </c>
      <c r="O1531" t="s">
        <v>33</v>
      </c>
      <c r="P1531" t="s">
        <v>34</v>
      </c>
      <c r="Q1531" t="s">
        <v>378</v>
      </c>
      <c r="R1531" t="s">
        <v>2499</v>
      </c>
      <c r="S1531" s="7">
        <v>86442</v>
      </c>
      <c r="T1531" s="3">
        <v>42146</v>
      </c>
      <c r="U1531" s="3">
        <v>42148</v>
      </c>
      <c r="V1531" s="4">
        <v>-103.224</v>
      </c>
      <c r="W1531">
        <v>16</v>
      </c>
      <c r="X1531">
        <v>78.989999999999995</v>
      </c>
      <c r="Y1531" s="7">
        <v>87677</v>
      </c>
    </row>
    <row r="1532" spans="1:25">
      <c r="A1532">
        <v>20983</v>
      </c>
      <c r="B1532" t="s">
        <v>37</v>
      </c>
      <c r="C1532" s="4">
        <v>0.04</v>
      </c>
      <c r="D1532" s="8">
        <v>70.98</v>
      </c>
      <c r="E1532" s="4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 s="5">
        <v>0.6</v>
      </c>
      <c r="O1532" t="s">
        <v>33</v>
      </c>
      <c r="P1532" t="s">
        <v>34</v>
      </c>
      <c r="Q1532" t="s">
        <v>378</v>
      </c>
      <c r="R1532" t="s">
        <v>2499</v>
      </c>
      <c r="S1532" s="7">
        <v>86442</v>
      </c>
      <c r="T1532" s="3">
        <v>42102</v>
      </c>
      <c r="U1532" s="3">
        <v>42104</v>
      </c>
      <c r="V1532" s="4">
        <v>-84.628799999999998</v>
      </c>
      <c r="W1532">
        <v>19</v>
      </c>
      <c r="X1532">
        <v>1345.33</v>
      </c>
      <c r="Y1532" s="7">
        <v>87679</v>
      </c>
    </row>
    <row r="1533" spans="1:25" ht="12.75" customHeight="1">
      <c r="A1533">
        <v>24151</v>
      </c>
      <c r="B1533" t="s">
        <v>47</v>
      </c>
      <c r="C1533" s="4">
        <v>0.06</v>
      </c>
      <c r="D1533" s="8">
        <v>3.6</v>
      </c>
      <c r="E1533" s="4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 s="5">
        <v>0.39</v>
      </c>
      <c r="O1533" t="s">
        <v>33</v>
      </c>
      <c r="P1533" t="s">
        <v>136</v>
      </c>
      <c r="Q1533" t="s">
        <v>362</v>
      </c>
      <c r="R1533" t="s">
        <v>2502</v>
      </c>
      <c r="S1533" s="7">
        <v>32503</v>
      </c>
      <c r="T1533" s="3">
        <v>42124</v>
      </c>
      <c r="U1533" s="3">
        <v>42126</v>
      </c>
      <c r="V1533" s="4">
        <v>2755.6422000000002</v>
      </c>
      <c r="W1533">
        <v>4</v>
      </c>
      <c r="X1533">
        <v>15.19</v>
      </c>
      <c r="Y1533" s="7">
        <v>91407</v>
      </c>
    </row>
    <row r="1534" spans="1:25" ht="12.75" customHeight="1">
      <c r="A1534">
        <v>21979</v>
      </c>
      <c r="B1534" t="s">
        <v>106</v>
      </c>
      <c r="C1534" s="4">
        <v>0.03</v>
      </c>
      <c r="D1534" s="8">
        <v>13.48</v>
      </c>
      <c r="E1534" s="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 s="5">
        <v>0.59</v>
      </c>
      <c r="O1534" t="s">
        <v>33</v>
      </c>
      <c r="P1534" t="s">
        <v>136</v>
      </c>
      <c r="Q1534" t="s">
        <v>362</v>
      </c>
      <c r="R1534" t="s">
        <v>2502</v>
      </c>
      <c r="S1534" s="7">
        <v>32503</v>
      </c>
      <c r="T1534" s="3">
        <v>42124</v>
      </c>
      <c r="U1534" s="3">
        <v>42128</v>
      </c>
      <c r="V1534" s="4">
        <v>-256.01800000000003</v>
      </c>
      <c r="W1534">
        <v>4</v>
      </c>
      <c r="X1534">
        <v>59.49</v>
      </c>
      <c r="Y1534" s="7">
        <v>91408</v>
      </c>
    </row>
    <row r="1535" spans="1:25" ht="12.75" customHeight="1">
      <c r="A1535">
        <v>18898</v>
      </c>
      <c r="B1535" t="s">
        <v>56</v>
      </c>
      <c r="C1535" s="4">
        <v>7.0000000000000007E-2</v>
      </c>
      <c r="D1535" s="8">
        <v>60.97</v>
      </c>
      <c r="E1535" s="4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 s="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 s="7">
        <v>21042</v>
      </c>
      <c r="T1535" s="3">
        <v>42152</v>
      </c>
      <c r="U1535" s="3">
        <v>42154</v>
      </c>
      <c r="V1535" s="4">
        <v>-41.77</v>
      </c>
      <c r="W1535">
        <v>1</v>
      </c>
      <c r="X1535">
        <v>57.84</v>
      </c>
      <c r="Y1535" s="7">
        <v>89240</v>
      </c>
    </row>
    <row r="1536" spans="1:25" ht="12.75" customHeight="1">
      <c r="A1536">
        <v>18899</v>
      </c>
      <c r="B1536" t="s">
        <v>56</v>
      </c>
      <c r="C1536" s="4">
        <v>0</v>
      </c>
      <c r="D1536" s="8">
        <v>90.98</v>
      </c>
      <c r="E1536" s="4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 s="5">
        <v>0.74</v>
      </c>
      <c r="O1536" t="s">
        <v>33</v>
      </c>
      <c r="P1536" t="s">
        <v>53</v>
      </c>
      <c r="Q1536" t="s">
        <v>415</v>
      </c>
      <c r="R1536" t="s">
        <v>2505</v>
      </c>
      <c r="S1536" s="7">
        <v>21042</v>
      </c>
      <c r="T1536" s="3">
        <v>42152</v>
      </c>
      <c r="U1536" s="3">
        <v>42154</v>
      </c>
      <c r="V1536" s="4">
        <v>-1014.11</v>
      </c>
      <c r="W1536">
        <v>15</v>
      </c>
      <c r="X1536">
        <v>1425.71</v>
      </c>
      <c r="Y1536" s="7">
        <v>89240</v>
      </c>
    </row>
    <row r="1537" spans="1:25" ht="12.75" customHeight="1">
      <c r="A1537">
        <v>18855</v>
      </c>
      <c r="B1537" t="s">
        <v>47</v>
      </c>
      <c r="C1537" s="4">
        <v>7.0000000000000007E-2</v>
      </c>
      <c r="D1537" s="8">
        <v>2.88</v>
      </c>
      <c r="E1537" s="4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 s="5">
        <v>0.39</v>
      </c>
      <c r="O1537" t="s">
        <v>33</v>
      </c>
      <c r="P1537" t="s">
        <v>61</v>
      </c>
      <c r="Q1537" t="s">
        <v>300</v>
      </c>
      <c r="R1537" t="s">
        <v>2508</v>
      </c>
      <c r="S1537" s="7">
        <v>49001</v>
      </c>
      <c r="T1537" s="3">
        <v>42176</v>
      </c>
      <c r="U1537" s="3">
        <v>42179</v>
      </c>
      <c r="V1537" s="4">
        <v>17.429400000000001</v>
      </c>
      <c r="W1537">
        <v>9</v>
      </c>
      <c r="X1537">
        <v>25.26</v>
      </c>
      <c r="Y1537" s="7">
        <v>88701</v>
      </c>
    </row>
    <row r="1538" spans="1:25" ht="12.75" customHeight="1">
      <c r="A1538">
        <v>18856</v>
      </c>
      <c r="B1538" t="s">
        <v>47</v>
      </c>
      <c r="C1538" s="4">
        <v>0.03</v>
      </c>
      <c r="D1538" s="8">
        <v>348.21</v>
      </c>
      <c r="E1538" s="4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 s="5">
        <v>0.62</v>
      </c>
      <c r="O1538" t="s">
        <v>33</v>
      </c>
      <c r="P1538" t="s">
        <v>61</v>
      </c>
      <c r="Q1538" t="s">
        <v>300</v>
      </c>
      <c r="R1538" t="s">
        <v>2508</v>
      </c>
      <c r="S1538" s="7">
        <v>49001</v>
      </c>
      <c r="T1538" s="3">
        <v>42176</v>
      </c>
      <c r="U1538" s="3">
        <v>42177</v>
      </c>
      <c r="V1538" s="4">
        <v>-178.86960000000002</v>
      </c>
      <c r="W1538">
        <v>2</v>
      </c>
      <c r="X1538">
        <v>736.16</v>
      </c>
      <c r="Y1538" s="7">
        <v>88701</v>
      </c>
    </row>
    <row r="1539" spans="1:25" ht="12.75" customHeight="1">
      <c r="A1539">
        <v>21690</v>
      </c>
      <c r="B1539" t="s">
        <v>106</v>
      </c>
      <c r="C1539" s="4">
        <v>0.01</v>
      </c>
      <c r="D1539" s="8">
        <v>29.89</v>
      </c>
      <c r="E1539" s="4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 s="5">
        <v>0.5</v>
      </c>
      <c r="O1539" t="s">
        <v>33</v>
      </c>
      <c r="P1539" t="s">
        <v>61</v>
      </c>
      <c r="Q1539" t="s">
        <v>300</v>
      </c>
      <c r="R1539" t="s">
        <v>2510</v>
      </c>
      <c r="S1539" s="7">
        <v>48911</v>
      </c>
      <c r="T1539" s="3">
        <v>42016</v>
      </c>
      <c r="U1539" s="3">
        <v>42020</v>
      </c>
      <c r="V1539" s="4">
        <v>-74.64</v>
      </c>
      <c r="W1539">
        <v>1</v>
      </c>
      <c r="X1539">
        <v>31.96</v>
      </c>
      <c r="Y1539" s="7">
        <v>88702</v>
      </c>
    </row>
    <row r="1540" spans="1:25" ht="12.75" customHeight="1">
      <c r="A1540">
        <v>21863</v>
      </c>
      <c r="B1540" t="s">
        <v>47</v>
      </c>
      <c r="C1540" s="4">
        <v>0.1</v>
      </c>
      <c r="D1540" s="8">
        <v>6.74</v>
      </c>
      <c r="E1540" s="4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 s="5">
        <v>0.35</v>
      </c>
      <c r="O1540" t="s">
        <v>33</v>
      </c>
      <c r="P1540" t="s">
        <v>61</v>
      </c>
      <c r="Q1540" t="s">
        <v>178</v>
      </c>
      <c r="R1540" t="s">
        <v>2510</v>
      </c>
      <c r="S1540" s="7">
        <v>60438</v>
      </c>
      <c r="T1540" s="3">
        <v>42064</v>
      </c>
      <c r="U1540" s="3">
        <v>42066</v>
      </c>
      <c r="V1540" s="4">
        <v>65.41</v>
      </c>
      <c r="W1540">
        <v>15</v>
      </c>
      <c r="X1540">
        <v>98.17</v>
      </c>
      <c r="Y1540" s="7">
        <v>89394</v>
      </c>
    </row>
    <row r="1541" spans="1:25" ht="12.75" customHeight="1">
      <c r="A1541">
        <v>21399</v>
      </c>
      <c r="B1541" t="s">
        <v>47</v>
      </c>
      <c r="C1541" s="4">
        <v>0</v>
      </c>
      <c r="D1541" s="8">
        <v>40.479999999999997</v>
      </c>
      <c r="E1541" s="4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 s="5">
        <v>0.77</v>
      </c>
      <c r="O1541" t="s">
        <v>33</v>
      </c>
      <c r="P1541" t="s">
        <v>136</v>
      </c>
      <c r="Q1541" t="s">
        <v>387</v>
      </c>
      <c r="R1541" t="s">
        <v>2514</v>
      </c>
      <c r="S1541" s="7">
        <v>30721</v>
      </c>
      <c r="T1541" s="3">
        <v>42171</v>
      </c>
      <c r="U1541" s="3">
        <v>42172</v>
      </c>
      <c r="V1541" s="4">
        <v>-25.634</v>
      </c>
      <c r="W1541">
        <v>6</v>
      </c>
      <c r="X1541">
        <v>264.95</v>
      </c>
      <c r="Y1541" s="7">
        <v>88766</v>
      </c>
    </row>
    <row r="1542" spans="1:25" ht="12.75" customHeight="1">
      <c r="A1542">
        <v>19907</v>
      </c>
      <c r="B1542" t="s">
        <v>47</v>
      </c>
      <c r="C1542" s="4">
        <v>0.06</v>
      </c>
      <c r="D1542" s="8">
        <v>4.9800000000000004</v>
      </c>
      <c r="E1542" s="4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 s="5">
        <v>0.36</v>
      </c>
      <c r="O1542" t="s">
        <v>33</v>
      </c>
      <c r="P1542" t="s">
        <v>136</v>
      </c>
      <c r="Q1542" t="s">
        <v>244</v>
      </c>
      <c r="R1542" t="s">
        <v>2516</v>
      </c>
      <c r="S1542" s="7">
        <v>37421</v>
      </c>
      <c r="T1542" s="3">
        <v>42125</v>
      </c>
      <c r="U1542" s="3">
        <v>42126</v>
      </c>
      <c r="V1542" s="4">
        <v>-37.561999999999998</v>
      </c>
      <c r="W1542">
        <v>10</v>
      </c>
      <c r="X1542">
        <v>53.21</v>
      </c>
      <c r="Y1542" s="7">
        <v>88959</v>
      </c>
    </row>
    <row r="1543" spans="1:25" ht="12.75" customHeight="1">
      <c r="A1543">
        <v>19908</v>
      </c>
      <c r="B1543" t="s">
        <v>47</v>
      </c>
      <c r="C1543" s="4">
        <v>0.01</v>
      </c>
      <c r="D1543" s="8">
        <v>6.48</v>
      </c>
      <c r="E1543" s="4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 s="5">
        <v>0.37</v>
      </c>
      <c r="O1543" t="s">
        <v>33</v>
      </c>
      <c r="P1543" t="s">
        <v>136</v>
      </c>
      <c r="Q1543" t="s">
        <v>244</v>
      </c>
      <c r="R1543" t="s">
        <v>2516</v>
      </c>
      <c r="S1543" s="7">
        <v>37421</v>
      </c>
      <c r="T1543" s="3">
        <v>42125</v>
      </c>
      <c r="U1543" s="3">
        <v>42127</v>
      </c>
      <c r="V1543" s="4">
        <v>-449.69399999999996</v>
      </c>
      <c r="W1543">
        <v>18</v>
      </c>
      <c r="X1543">
        <v>122.8</v>
      </c>
      <c r="Y1543" s="7">
        <v>88959</v>
      </c>
    </row>
    <row r="1544" spans="1:25" ht="12.75" customHeight="1">
      <c r="A1544">
        <v>22612</v>
      </c>
      <c r="B1544" t="s">
        <v>37</v>
      </c>
      <c r="C1544" s="4">
        <v>0.05</v>
      </c>
      <c r="D1544" s="8">
        <v>28.15</v>
      </c>
      <c r="E1544" s="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 s="5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 s="7">
        <v>37042</v>
      </c>
      <c r="T1544" s="3">
        <v>42021</v>
      </c>
      <c r="U1544" s="3">
        <v>42022</v>
      </c>
      <c r="V1544" s="4">
        <v>-66.248000000000005</v>
      </c>
      <c r="W1544">
        <v>10</v>
      </c>
      <c r="X1544">
        <v>282.38</v>
      </c>
      <c r="Y1544" s="7">
        <v>88958</v>
      </c>
    </row>
    <row r="1545" spans="1:25" ht="12.75" customHeight="1">
      <c r="A1545">
        <v>21422</v>
      </c>
      <c r="B1545" t="s">
        <v>106</v>
      </c>
      <c r="C1545" s="4">
        <v>0.08</v>
      </c>
      <c r="D1545" s="8">
        <v>230.98</v>
      </c>
      <c r="E1545" s="4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 s="5">
        <v>0.6</v>
      </c>
      <c r="O1545" t="s">
        <v>33</v>
      </c>
      <c r="P1545" t="s">
        <v>34</v>
      </c>
      <c r="Q1545" t="s">
        <v>35</v>
      </c>
      <c r="R1545" t="s">
        <v>566</v>
      </c>
      <c r="S1545" s="7">
        <v>98226</v>
      </c>
      <c r="T1545" s="3">
        <v>42069</v>
      </c>
      <c r="U1545" s="3">
        <v>42073</v>
      </c>
      <c r="V1545" s="4">
        <v>501.69</v>
      </c>
      <c r="W1545">
        <v>4</v>
      </c>
      <c r="X1545">
        <v>924.8</v>
      </c>
      <c r="Y1545" s="7">
        <v>88114</v>
      </c>
    </row>
    <row r="1546" spans="1:25" ht="12.75" customHeight="1">
      <c r="A1546">
        <v>19819</v>
      </c>
      <c r="B1546" t="s">
        <v>37</v>
      </c>
      <c r="C1546" s="4">
        <v>0.05</v>
      </c>
      <c r="D1546" s="8">
        <v>100.98</v>
      </c>
      <c r="E1546" s="4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 s="5">
        <v>0.4</v>
      </c>
      <c r="O1546" t="s">
        <v>33</v>
      </c>
      <c r="P1546" t="s">
        <v>53</v>
      </c>
      <c r="Q1546" t="s">
        <v>149</v>
      </c>
      <c r="R1546" t="s">
        <v>739</v>
      </c>
      <c r="S1546" s="7">
        <v>5701</v>
      </c>
      <c r="T1546" s="3">
        <v>42116</v>
      </c>
      <c r="U1546" s="3">
        <v>42118</v>
      </c>
      <c r="V1546" s="4">
        <v>566.6072999999999</v>
      </c>
      <c r="W1546">
        <v>8</v>
      </c>
      <c r="X1546">
        <v>821.17</v>
      </c>
      <c r="Y1546" s="7">
        <v>89018</v>
      </c>
    </row>
    <row r="1547" spans="1:25" ht="12.75" customHeight="1">
      <c r="A1547">
        <v>18790</v>
      </c>
      <c r="B1547" t="s">
        <v>56</v>
      </c>
      <c r="C1547" s="4">
        <v>0.03</v>
      </c>
      <c r="D1547" s="8">
        <v>15.31</v>
      </c>
      <c r="E1547" s="4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 s="5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 s="7">
        <v>5701</v>
      </c>
      <c r="T1547" s="3">
        <v>42156</v>
      </c>
      <c r="U1547" s="3">
        <v>42157</v>
      </c>
      <c r="V1547" s="4">
        <v>-57.56</v>
      </c>
      <c r="W1547">
        <v>12</v>
      </c>
      <c r="X1547">
        <v>194.08</v>
      </c>
      <c r="Y1547" s="7">
        <v>89019</v>
      </c>
    </row>
    <row r="1548" spans="1:25" ht="12.75" customHeight="1">
      <c r="A1548">
        <v>24278</v>
      </c>
      <c r="B1548" t="s">
        <v>47</v>
      </c>
      <c r="C1548" s="4">
        <v>0.02</v>
      </c>
      <c r="D1548" s="8">
        <v>33.979999999999997</v>
      </c>
      <c r="E1548" s="4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 s="5">
        <v>0.45</v>
      </c>
      <c r="O1548" t="s">
        <v>33</v>
      </c>
      <c r="P1548" t="s">
        <v>53</v>
      </c>
      <c r="Q1548" t="s">
        <v>149</v>
      </c>
      <c r="R1548" t="s">
        <v>778</v>
      </c>
      <c r="S1548" s="7">
        <v>5403</v>
      </c>
      <c r="T1548" s="3">
        <v>42107</v>
      </c>
      <c r="U1548" s="3">
        <v>42109</v>
      </c>
      <c r="V1548" s="4">
        <v>164.06129999999999</v>
      </c>
      <c r="W1548">
        <v>7</v>
      </c>
      <c r="X1548">
        <v>237.77</v>
      </c>
      <c r="Y1548" s="7">
        <v>89017</v>
      </c>
    </row>
    <row r="1549" spans="1:25" ht="12.75" customHeight="1">
      <c r="A1549">
        <v>19987</v>
      </c>
      <c r="B1549" t="s">
        <v>106</v>
      </c>
      <c r="C1549" s="4">
        <v>0.01</v>
      </c>
      <c r="D1549" s="8">
        <v>35.99</v>
      </c>
      <c r="E1549" s="4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 s="5">
        <v>0.38</v>
      </c>
      <c r="O1549" t="s">
        <v>33</v>
      </c>
      <c r="P1549" t="s">
        <v>34</v>
      </c>
      <c r="Q1549" t="s">
        <v>1741</v>
      </c>
      <c r="R1549" t="s">
        <v>2524</v>
      </c>
      <c r="S1549" s="7">
        <v>83605</v>
      </c>
      <c r="T1549" s="3">
        <v>42075</v>
      </c>
      <c r="U1549" s="3">
        <v>42082</v>
      </c>
      <c r="V1549" s="4">
        <v>218.23319999999995</v>
      </c>
      <c r="W1549">
        <v>10</v>
      </c>
      <c r="X1549">
        <v>316.27999999999997</v>
      </c>
      <c r="Y1549" s="7">
        <v>89481</v>
      </c>
    </row>
    <row r="1550" spans="1:25">
      <c r="A1550">
        <v>21323</v>
      </c>
      <c r="B1550" t="s">
        <v>56</v>
      </c>
      <c r="C1550" s="4">
        <v>0.01</v>
      </c>
      <c r="D1550" s="8">
        <v>220.98</v>
      </c>
      <c r="E1550" s="4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 s="5">
        <v>0.62</v>
      </c>
      <c r="O1550" t="s">
        <v>33</v>
      </c>
      <c r="P1550" t="s">
        <v>34</v>
      </c>
      <c r="Q1550" t="s">
        <v>378</v>
      </c>
      <c r="R1550" t="s">
        <v>2527</v>
      </c>
      <c r="S1550" s="7">
        <v>85224</v>
      </c>
      <c r="T1550" s="3">
        <v>42081</v>
      </c>
      <c r="U1550" s="3">
        <v>42082</v>
      </c>
      <c r="V1550" s="4">
        <v>1049.03</v>
      </c>
      <c r="W1550">
        <v>11</v>
      </c>
      <c r="X1550">
        <v>2591.09</v>
      </c>
      <c r="Y1550" s="7">
        <v>86184</v>
      </c>
    </row>
    <row r="1551" spans="1:25" ht="12.75" customHeight="1">
      <c r="A1551">
        <v>4949</v>
      </c>
      <c r="B1551" t="s">
        <v>56</v>
      </c>
      <c r="C1551" s="4">
        <v>0.08</v>
      </c>
      <c r="D1551" s="8">
        <v>9.98</v>
      </c>
      <c r="E1551" s="4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 s="5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 s="7">
        <v>10115</v>
      </c>
      <c r="T1551" s="3">
        <v>42040</v>
      </c>
      <c r="U1551" s="3">
        <v>42042</v>
      </c>
      <c r="V1551" s="4">
        <v>-102.93</v>
      </c>
      <c r="W1551">
        <v>15</v>
      </c>
      <c r="X1551">
        <v>150.24</v>
      </c>
      <c r="Y1551" s="7">
        <v>35200</v>
      </c>
    </row>
    <row r="1552" spans="1:25" ht="12.75" customHeight="1">
      <c r="A1552">
        <v>3323</v>
      </c>
      <c r="B1552" t="s">
        <v>56</v>
      </c>
      <c r="C1552" s="4">
        <v>0.01</v>
      </c>
      <c r="D1552" s="8">
        <v>220.98</v>
      </c>
      <c r="E1552" s="4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 s="5">
        <v>0.62</v>
      </c>
      <c r="O1552" t="s">
        <v>33</v>
      </c>
      <c r="P1552" t="s">
        <v>53</v>
      </c>
      <c r="Q1552" t="s">
        <v>71</v>
      </c>
      <c r="R1552" t="s">
        <v>90</v>
      </c>
      <c r="S1552" s="7">
        <v>10115</v>
      </c>
      <c r="T1552" s="3">
        <v>42081</v>
      </c>
      <c r="U1552" s="3">
        <v>42082</v>
      </c>
      <c r="V1552" s="4">
        <v>1049.03</v>
      </c>
      <c r="W1552">
        <v>44</v>
      </c>
      <c r="X1552">
        <v>10364.36</v>
      </c>
      <c r="Y1552" s="7">
        <v>23751</v>
      </c>
    </row>
    <row r="1553" spans="1:25" ht="12.75" customHeight="1">
      <c r="A1553">
        <v>23271</v>
      </c>
      <c r="B1553" t="s">
        <v>47</v>
      </c>
      <c r="C1553" s="4">
        <v>0.02</v>
      </c>
      <c r="D1553" s="8">
        <v>161.55000000000001</v>
      </c>
      <c r="E1553" s="4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 s="5">
        <v>0.66</v>
      </c>
      <c r="O1553" t="s">
        <v>33</v>
      </c>
      <c r="P1553" t="s">
        <v>136</v>
      </c>
      <c r="Q1553" t="s">
        <v>137</v>
      </c>
      <c r="R1553" t="s">
        <v>2531</v>
      </c>
      <c r="S1553" s="7">
        <v>22980</v>
      </c>
      <c r="T1553" s="3">
        <v>42071</v>
      </c>
      <c r="U1553" s="3">
        <v>42071</v>
      </c>
      <c r="V1553" s="4">
        <v>664.51800000000003</v>
      </c>
      <c r="W1553">
        <v>4</v>
      </c>
      <c r="X1553">
        <v>657.61</v>
      </c>
      <c r="Y1553" s="7">
        <v>91424</v>
      </c>
    </row>
    <row r="1554" spans="1:25" ht="12.75" customHeight="1">
      <c r="A1554">
        <v>21630</v>
      </c>
      <c r="B1554" t="s">
        <v>56</v>
      </c>
      <c r="C1554" s="4">
        <v>0.08</v>
      </c>
      <c r="D1554" s="8">
        <v>22.01</v>
      </c>
      <c r="E1554" s="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 s="5">
        <v>0.59</v>
      </c>
      <c r="O1554" t="s">
        <v>33</v>
      </c>
      <c r="P1554" t="s">
        <v>53</v>
      </c>
      <c r="Q1554" t="s">
        <v>228</v>
      </c>
      <c r="R1554" t="s">
        <v>2533</v>
      </c>
      <c r="S1554" s="7">
        <v>6708</v>
      </c>
      <c r="T1554" s="3">
        <v>42116</v>
      </c>
      <c r="U1554" s="3">
        <v>42118</v>
      </c>
      <c r="V1554" s="4">
        <v>105.7</v>
      </c>
      <c r="W1554">
        <v>11</v>
      </c>
      <c r="X1554">
        <v>241.97</v>
      </c>
      <c r="Y1554" s="7">
        <v>90724</v>
      </c>
    </row>
    <row r="1555" spans="1:25" ht="12.75" customHeight="1">
      <c r="A1555">
        <v>21629</v>
      </c>
      <c r="B1555" t="s">
        <v>56</v>
      </c>
      <c r="C1555" s="4">
        <v>0.02</v>
      </c>
      <c r="D1555" s="8">
        <v>29.74</v>
      </c>
      <c r="E1555" s="4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 s="5">
        <v>0.7</v>
      </c>
      <c r="O1555" t="s">
        <v>33</v>
      </c>
      <c r="P1555" t="s">
        <v>53</v>
      </c>
      <c r="Q1555" t="s">
        <v>54</v>
      </c>
      <c r="R1555" t="s">
        <v>2426</v>
      </c>
      <c r="S1555" s="7">
        <v>7601</v>
      </c>
      <c r="T1555" s="3">
        <v>42116</v>
      </c>
      <c r="U1555" s="3">
        <v>42116</v>
      </c>
      <c r="V1555" s="4">
        <v>-21.06</v>
      </c>
      <c r="W1555">
        <v>4</v>
      </c>
      <c r="X1555">
        <v>120.81</v>
      </c>
      <c r="Y1555" s="7">
        <v>90724</v>
      </c>
    </row>
    <row r="1556" spans="1:25" ht="12.75" customHeight="1">
      <c r="A1556">
        <v>26156</v>
      </c>
      <c r="B1556" t="s">
        <v>106</v>
      </c>
      <c r="C1556" s="4">
        <v>0.03</v>
      </c>
      <c r="D1556" s="8">
        <v>5.85</v>
      </c>
      <c r="E1556" s="4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 s="5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 s="7">
        <v>8021</v>
      </c>
      <c r="T1556" s="3">
        <v>42152</v>
      </c>
      <c r="U1556" s="3">
        <v>42154</v>
      </c>
      <c r="V1556" s="4">
        <v>-5.08</v>
      </c>
      <c r="W1556">
        <v>7</v>
      </c>
      <c r="X1556">
        <v>41.4</v>
      </c>
      <c r="Y1556" s="7">
        <v>90725</v>
      </c>
    </row>
    <row r="1557" spans="1:25" ht="12.75" customHeight="1">
      <c r="A1557">
        <v>23342</v>
      </c>
      <c r="B1557" t="s">
        <v>47</v>
      </c>
      <c r="C1557" s="4">
        <v>0.02</v>
      </c>
      <c r="D1557" s="8">
        <v>11.55</v>
      </c>
      <c r="E1557" s="4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 s="5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 s="7">
        <v>30338</v>
      </c>
      <c r="T1557" s="3">
        <v>42071</v>
      </c>
      <c r="U1557" s="3">
        <v>42073</v>
      </c>
      <c r="V1557" s="4">
        <v>1289.3819999999998</v>
      </c>
      <c r="W1557">
        <v>14</v>
      </c>
      <c r="X1557">
        <v>159.53</v>
      </c>
      <c r="Y1557" s="7">
        <v>88975</v>
      </c>
    </row>
    <row r="1558" spans="1:25" ht="12.75" customHeight="1">
      <c r="A1558">
        <v>26157</v>
      </c>
      <c r="B1558" t="s">
        <v>25</v>
      </c>
      <c r="C1558" s="4">
        <v>7.0000000000000007E-2</v>
      </c>
      <c r="D1558" s="8">
        <v>177.98</v>
      </c>
      <c r="E1558" s="4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 s="5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 s="7">
        <v>30344</v>
      </c>
      <c r="T1558" s="3">
        <v>42168</v>
      </c>
      <c r="U1558" s="3">
        <v>42168</v>
      </c>
      <c r="V1558" s="4">
        <v>-191.548</v>
      </c>
      <c r="W1558">
        <v>3</v>
      </c>
      <c r="X1558">
        <v>536.29</v>
      </c>
      <c r="Y1558" s="7">
        <v>88974</v>
      </c>
    </row>
    <row r="1559" spans="1:25" ht="12.75" customHeight="1">
      <c r="A1559">
        <v>24523</v>
      </c>
      <c r="B1559" t="s">
        <v>37</v>
      </c>
      <c r="C1559" s="4">
        <v>0.1</v>
      </c>
      <c r="D1559" s="8">
        <v>5.18</v>
      </c>
      <c r="E1559" s="4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 s="5">
        <v>0.36</v>
      </c>
      <c r="O1559" t="s">
        <v>33</v>
      </c>
      <c r="P1559" t="s">
        <v>34</v>
      </c>
      <c r="Q1559" t="s">
        <v>45</v>
      </c>
      <c r="R1559" t="s">
        <v>1152</v>
      </c>
      <c r="S1559" s="7">
        <v>94568</v>
      </c>
      <c r="T1559" s="3">
        <v>42089</v>
      </c>
      <c r="U1559" s="3">
        <v>42091</v>
      </c>
      <c r="V1559" s="4">
        <v>-29.003</v>
      </c>
      <c r="W1559">
        <v>2</v>
      </c>
      <c r="X1559">
        <v>10.96</v>
      </c>
      <c r="Y1559" s="7">
        <v>91584</v>
      </c>
    </row>
    <row r="1560" spans="1:25" ht="12.75" customHeight="1">
      <c r="A1560">
        <v>20956</v>
      </c>
      <c r="B1560" t="s">
        <v>106</v>
      </c>
      <c r="C1560" s="4">
        <v>7.0000000000000007E-2</v>
      </c>
      <c r="D1560" s="8">
        <v>574.74</v>
      </c>
      <c r="E1560" s="4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 s="5">
        <v>0.37</v>
      </c>
      <c r="O1560" t="s">
        <v>33</v>
      </c>
      <c r="P1560" t="s">
        <v>61</v>
      </c>
      <c r="Q1560" t="s">
        <v>178</v>
      </c>
      <c r="R1560" t="s">
        <v>2545</v>
      </c>
      <c r="S1560" s="7">
        <v>60131</v>
      </c>
      <c r="T1560" s="3">
        <v>42034</v>
      </c>
      <c r="U1560" s="3">
        <v>42039</v>
      </c>
      <c r="V1560" s="4">
        <v>2860.9331999999995</v>
      </c>
      <c r="W1560">
        <v>8</v>
      </c>
      <c r="X1560">
        <v>4146.28</v>
      </c>
      <c r="Y1560" s="7">
        <v>91229</v>
      </c>
    </row>
    <row r="1561" spans="1:25" ht="12.75" customHeight="1">
      <c r="A1561">
        <v>24122</v>
      </c>
      <c r="B1561" t="s">
        <v>47</v>
      </c>
      <c r="C1561" s="4">
        <v>0.03</v>
      </c>
      <c r="D1561" s="8">
        <v>350.98</v>
      </c>
      <c r="E1561" s="4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 s="5">
        <v>0.61</v>
      </c>
      <c r="O1561" t="s">
        <v>33</v>
      </c>
      <c r="P1561" t="s">
        <v>53</v>
      </c>
      <c r="Q1561" t="s">
        <v>415</v>
      </c>
      <c r="R1561" t="s">
        <v>2547</v>
      </c>
      <c r="S1561" s="7">
        <v>20877</v>
      </c>
      <c r="T1561" s="3">
        <v>42016</v>
      </c>
      <c r="U1561" s="3">
        <v>42019</v>
      </c>
      <c r="V1561" s="4">
        <v>2692.4420999999998</v>
      </c>
      <c r="W1561">
        <v>11</v>
      </c>
      <c r="X1561">
        <v>3902.09</v>
      </c>
      <c r="Y1561" s="7">
        <v>91228</v>
      </c>
    </row>
    <row r="1562" spans="1:25" ht="12.75" customHeight="1">
      <c r="A1562">
        <v>24123</v>
      </c>
      <c r="B1562" t="s">
        <v>47</v>
      </c>
      <c r="C1562" s="4">
        <v>0.04</v>
      </c>
      <c r="D1562" s="8">
        <v>1.68</v>
      </c>
      <c r="E1562" s="4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 s="5">
        <v>0.35</v>
      </c>
      <c r="O1562" t="s">
        <v>33</v>
      </c>
      <c r="P1562" t="s">
        <v>53</v>
      </c>
      <c r="Q1562" t="s">
        <v>415</v>
      </c>
      <c r="R1562" t="s">
        <v>2547</v>
      </c>
      <c r="S1562" s="7">
        <v>20877</v>
      </c>
      <c r="T1562" s="3">
        <v>42016</v>
      </c>
      <c r="U1562" s="3">
        <v>42018</v>
      </c>
      <c r="V1562" s="4">
        <v>2.0672000000000001</v>
      </c>
      <c r="W1562">
        <v>8</v>
      </c>
      <c r="X1562">
        <v>14.18</v>
      </c>
      <c r="Y1562" s="7">
        <v>91228</v>
      </c>
    </row>
    <row r="1563" spans="1:25" ht="12.75" customHeight="1">
      <c r="A1563">
        <v>20097</v>
      </c>
      <c r="B1563" t="s">
        <v>25</v>
      </c>
      <c r="C1563" s="4">
        <v>0.05</v>
      </c>
      <c r="D1563" s="8">
        <v>205.99</v>
      </c>
      <c r="E1563" s="4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 s="5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 s="7">
        <v>28403</v>
      </c>
      <c r="T1563" s="3">
        <v>42046</v>
      </c>
      <c r="U1563" s="3">
        <v>42047</v>
      </c>
      <c r="V1563" s="4">
        <v>111.05249999999999</v>
      </c>
      <c r="W1563">
        <v>12</v>
      </c>
      <c r="X1563">
        <v>2118.9899999999998</v>
      </c>
      <c r="Y1563" s="7">
        <v>87160</v>
      </c>
    </row>
    <row r="1564" spans="1:25" ht="12.75" customHeight="1">
      <c r="A1564">
        <v>20098</v>
      </c>
      <c r="B1564" t="s">
        <v>25</v>
      </c>
      <c r="C1564" s="4">
        <v>0.08</v>
      </c>
      <c r="D1564" s="8">
        <v>205.99</v>
      </c>
      <c r="E1564" s="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 s="5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 s="7">
        <v>28403</v>
      </c>
      <c r="T1564" s="3">
        <v>42046</v>
      </c>
      <c r="U1564" s="3">
        <v>42047</v>
      </c>
      <c r="V1564" s="4">
        <v>-1963.752</v>
      </c>
      <c r="W1564">
        <v>5</v>
      </c>
      <c r="X1564">
        <v>837.64</v>
      </c>
      <c r="Y1564" s="7">
        <v>87160</v>
      </c>
    </row>
    <row r="1565" spans="1:25" ht="12.75" customHeight="1">
      <c r="A1565">
        <v>21707</v>
      </c>
      <c r="B1565" t="s">
        <v>47</v>
      </c>
      <c r="C1565" s="4">
        <v>0.01</v>
      </c>
      <c r="D1565" s="8">
        <v>35.99</v>
      </c>
      <c r="E1565" s="4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 s="5">
        <v>0.38</v>
      </c>
      <c r="O1565" t="s">
        <v>33</v>
      </c>
      <c r="P1565" t="s">
        <v>136</v>
      </c>
      <c r="Q1565" t="s">
        <v>322</v>
      </c>
      <c r="R1565" t="s">
        <v>2552</v>
      </c>
      <c r="S1565" s="7">
        <v>27893</v>
      </c>
      <c r="T1565" s="3">
        <v>42166</v>
      </c>
      <c r="U1565" s="3">
        <v>42167</v>
      </c>
      <c r="V1565" s="4">
        <v>-60.704000000000001</v>
      </c>
      <c r="W1565">
        <v>11</v>
      </c>
      <c r="X1565">
        <v>345.07</v>
      </c>
      <c r="Y1565" s="7">
        <v>87161</v>
      </c>
    </row>
    <row r="1566" spans="1:25" ht="12.75" customHeight="1">
      <c r="A1566">
        <v>22095</v>
      </c>
      <c r="B1566" t="s">
        <v>106</v>
      </c>
      <c r="C1566" s="4">
        <v>0.09</v>
      </c>
      <c r="D1566" s="8">
        <v>2.16</v>
      </c>
      <c r="E1566" s="4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 s="5">
        <v>0.37</v>
      </c>
      <c r="O1566" t="s">
        <v>33</v>
      </c>
      <c r="P1566" t="s">
        <v>34</v>
      </c>
      <c r="Q1566" t="s">
        <v>102</v>
      </c>
      <c r="R1566" t="s">
        <v>2554</v>
      </c>
      <c r="S1566" s="7">
        <v>97071</v>
      </c>
      <c r="T1566" s="3">
        <v>42035</v>
      </c>
      <c r="U1566" s="3">
        <v>42039</v>
      </c>
      <c r="V1566" s="4">
        <v>-37.789000000000001</v>
      </c>
      <c r="W1566">
        <v>2</v>
      </c>
      <c r="X1566">
        <v>5.48</v>
      </c>
      <c r="Y1566" s="7">
        <v>87162</v>
      </c>
    </row>
    <row r="1567" spans="1:25" ht="12.75" customHeight="1">
      <c r="A1567">
        <v>22096</v>
      </c>
      <c r="B1567" t="s">
        <v>106</v>
      </c>
      <c r="C1567" s="4">
        <v>0.03</v>
      </c>
      <c r="D1567" s="8">
        <v>808.49</v>
      </c>
      <c r="E1567" s="4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 s="5">
        <v>0.4</v>
      </c>
      <c r="O1567" t="s">
        <v>33</v>
      </c>
      <c r="P1567" t="s">
        <v>34</v>
      </c>
      <c r="Q1567" t="s">
        <v>102</v>
      </c>
      <c r="R1567" t="s">
        <v>2554</v>
      </c>
      <c r="S1567" s="7">
        <v>97071</v>
      </c>
      <c r="T1567" s="3">
        <v>42035</v>
      </c>
      <c r="U1567" s="3">
        <v>42042</v>
      </c>
      <c r="V1567" s="4">
        <v>7576.11</v>
      </c>
      <c r="W1567">
        <v>11</v>
      </c>
      <c r="X1567">
        <v>8201.33</v>
      </c>
      <c r="Y1567" s="7">
        <v>87162</v>
      </c>
    </row>
    <row r="1568" spans="1:25" ht="12.75" customHeight="1">
      <c r="A1568">
        <v>22097</v>
      </c>
      <c r="B1568" t="s">
        <v>106</v>
      </c>
      <c r="C1568" s="4">
        <v>0</v>
      </c>
      <c r="D1568" s="8">
        <v>6.48</v>
      </c>
      <c r="E1568" s="4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 s="5">
        <v>0.37</v>
      </c>
      <c r="O1568" t="s">
        <v>33</v>
      </c>
      <c r="P1568" t="s">
        <v>34</v>
      </c>
      <c r="Q1568" t="s">
        <v>102</v>
      </c>
      <c r="R1568" t="s">
        <v>2554</v>
      </c>
      <c r="S1568" s="7">
        <v>97071</v>
      </c>
      <c r="T1568" s="3">
        <v>42035</v>
      </c>
      <c r="U1568" s="3">
        <v>42042</v>
      </c>
      <c r="V1568" s="4">
        <v>-43.26</v>
      </c>
      <c r="W1568">
        <v>3</v>
      </c>
      <c r="X1568">
        <v>22.67</v>
      </c>
      <c r="Y1568" s="7">
        <v>87162</v>
      </c>
    </row>
    <row r="1569" spans="1:25" ht="12.75" customHeight="1">
      <c r="A1569">
        <v>21587</v>
      </c>
      <c r="B1569" t="s">
        <v>37</v>
      </c>
      <c r="C1569" s="4">
        <v>0.01</v>
      </c>
      <c r="D1569" s="8">
        <v>47.98</v>
      </c>
      <c r="E1569" s="4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 s="5">
        <v>0.71</v>
      </c>
      <c r="O1569" t="s">
        <v>33</v>
      </c>
      <c r="P1569" t="s">
        <v>136</v>
      </c>
      <c r="Q1569" t="s">
        <v>171</v>
      </c>
      <c r="R1569" t="s">
        <v>2558</v>
      </c>
      <c r="S1569" s="7">
        <v>70003</v>
      </c>
      <c r="T1569" s="3">
        <v>42075</v>
      </c>
      <c r="U1569" s="3">
        <v>42076</v>
      </c>
      <c r="V1569" s="4">
        <v>-44.436</v>
      </c>
      <c r="W1569">
        <v>8</v>
      </c>
      <c r="X1569">
        <v>393.98</v>
      </c>
      <c r="Y1569" s="7">
        <v>91316</v>
      </c>
    </row>
    <row r="1570" spans="1:25" ht="12.75" customHeight="1">
      <c r="A1570">
        <v>19860</v>
      </c>
      <c r="B1570" t="s">
        <v>47</v>
      </c>
      <c r="C1570" s="4">
        <v>0.09</v>
      </c>
      <c r="D1570" s="8">
        <v>2.88</v>
      </c>
      <c r="E1570" s="4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 s="5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 s="7">
        <v>48071</v>
      </c>
      <c r="T1570" s="3">
        <v>42019</v>
      </c>
      <c r="U1570" s="3">
        <v>42019</v>
      </c>
      <c r="V1570" s="4">
        <v>4.8499999999999996</v>
      </c>
      <c r="W1570">
        <v>7</v>
      </c>
      <c r="X1570">
        <v>19.29</v>
      </c>
      <c r="Y1570" s="7">
        <v>88758</v>
      </c>
    </row>
    <row r="1571" spans="1:25" ht="12.75" customHeight="1">
      <c r="A1571">
        <v>18361</v>
      </c>
      <c r="B1571" t="s">
        <v>56</v>
      </c>
      <c r="C1571" s="4">
        <v>0.06</v>
      </c>
      <c r="D1571" s="8">
        <v>2.61</v>
      </c>
      <c r="E1571" s="4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 s="5">
        <v>0.39</v>
      </c>
      <c r="O1571" t="s">
        <v>33</v>
      </c>
      <c r="P1571" t="s">
        <v>61</v>
      </c>
      <c r="Q1571" t="s">
        <v>330</v>
      </c>
      <c r="R1571" t="s">
        <v>2563</v>
      </c>
      <c r="S1571" s="7">
        <v>50158</v>
      </c>
      <c r="T1571" s="3">
        <v>42083</v>
      </c>
      <c r="U1571" s="3">
        <v>42085</v>
      </c>
      <c r="V1571" s="4">
        <v>3.5948999999999995</v>
      </c>
      <c r="W1571">
        <v>2</v>
      </c>
      <c r="X1571">
        <v>5.21</v>
      </c>
      <c r="Y1571" s="7">
        <v>87554</v>
      </c>
    </row>
    <row r="1572" spans="1:25" ht="12.75" customHeight="1">
      <c r="A1572">
        <v>18895</v>
      </c>
      <c r="B1572" t="s">
        <v>25</v>
      </c>
      <c r="C1572" s="4">
        <v>7.0000000000000007E-2</v>
      </c>
      <c r="D1572" s="8">
        <v>4.76</v>
      </c>
      <c r="E1572" s="4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 s="5">
        <v>0.39</v>
      </c>
      <c r="O1572" t="s">
        <v>33</v>
      </c>
      <c r="P1572" t="s">
        <v>61</v>
      </c>
      <c r="Q1572" t="s">
        <v>330</v>
      </c>
      <c r="R1572" t="s">
        <v>2563</v>
      </c>
      <c r="S1572" s="7">
        <v>50158</v>
      </c>
      <c r="T1572" s="3">
        <v>42162</v>
      </c>
      <c r="U1572" s="3">
        <v>42162</v>
      </c>
      <c r="V1572" s="4">
        <v>15.8148</v>
      </c>
      <c r="W1572">
        <v>5</v>
      </c>
      <c r="X1572">
        <v>22.92</v>
      </c>
      <c r="Y1572" s="7">
        <v>87555</v>
      </c>
    </row>
    <row r="1573" spans="1:25" ht="12.75" customHeight="1">
      <c r="A1573">
        <v>19486</v>
      </c>
      <c r="B1573" t="s">
        <v>106</v>
      </c>
      <c r="C1573" s="4">
        <v>0.04</v>
      </c>
      <c r="D1573" s="8">
        <v>3.57</v>
      </c>
      <c r="E1573" s="4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 s="5">
        <v>0.59</v>
      </c>
      <c r="O1573" t="s">
        <v>33</v>
      </c>
      <c r="P1573" t="s">
        <v>61</v>
      </c>
      <c r="Q1573" t="s">
        <v>330</v>
      </c>
      <c r="R1573" t="s">
        <v>2567</v>
      </c>
      <c r="S1573" s="7">
        <v>50401</v>
      </c>
      <c r="T1573" s="3">
        <v>42030</v>
      </c>
      <c r="U1573" s="3">
        <v>42032</v>
      </c>
      <c r="V1573" s="4">
        <v>-69.91</v>
      </c>
      <c r="W1573">
        <v>8</v>
      </c>
      <c r="X1573">
        <v>30.9</v>
      </c>
      <c r="Y1573" s="7">
        <v>87556</v>
      </c>
    </row>
    <row r="1574" spans="1:25" ht="12.75" customHeight="1">
      <c r="A1574">
        <v>19487</v>
      </c>
      <c r="B1574" t="s">
        <v>106</v>
      </c>
      <c r="C1574" s="4">
        <v>0.05</v>
      </c>
      <c r="D1574" s="8">
        <v>200.99</v>
      </c>
      <c r="E1574" s="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 s="5">
        <v>0.59</v>
      </c>
      <c r="O1574" t="s">
        <v>33</v>
      </c>
      <c r="P1574" t="s">
        <v>61</v>
      </c>
      <c r="Q1574" t="s">
        <v>330</v>
      </c>
      <c r="R1574" t="s">
        <v>2567</v>
      </c>
      <c r="S1574" s="7">
        <v>50401</v>
      </c>
      <c r="T1574" s="3">
        <v>42030</v>
      </c>
      <c r="U1574" s="3">
        <v>42034</v>
      </c>
      <c r="V1574" s="4">
        <v>1630.5251999999998</v>
      </c>
      <c r="W1574">
        <v>14</v>
      </c>
      <c r="X1574">
        <v>2363.08</v>
      </c>
      <c r="Y1574" s="7">
        <v>87556</v>
      </c>
    </row>
    <row r="1575" spans="1:25" ht="12.75" customHeight="1">
      <c r="A1575">
        <v>19488</v>
      </c>
      <c r="B1575" t="s">
        <v>106</v>
      </c>
      <c r="C1575" s="4">
        <v>7.0000000000000007E-2</v>
      </c>
      <c r="D1575" s="8">
        <v>195.99</v>
      </c>
      <c r="E1575" s="4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 s="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 s="7">
        <v>50401</v>
      </c>
      <c r="T1575" s="3">
        <v>42030</v>
      </c>
      <c r="U1575" s="3">
        <v>42030</v>
      </c>
      <c r="V1575" s="4">
        <v>-457.16</v>
      </c>
      <c r="W1575">
        <v>2</v>
      </c>
      <c r="X1575">
        <v>328.45</v>
      </c>
      <c r="Y1575" s="7">
        <v>87556</v>
      </c>
    </row>
    <row r="1576" spans="1:25" ht="12.75" customHeight="1">
      <c r="A1576">
        <v>23351</v>
      </c>
      <c r="B1576" t="s">
        <v>56</v>
      </c>
      <c r="C1576" s="4">
        <v>0.02</v>
      </c>
      <c r="D1576" s="8">
        <v>30.44</v>
      </c>
      <c r="E1576" s="4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 s="5">
        <v>0.37</v>
      </c>
      <c r="O1576" t="s">
        <v>33</v>
      </c>
      <c r="P1576" t="s">
        <v>61</v>
      </c>
      <c r="Q1576" t="s">
        <v>330</v>
      </c>
      <c r="R1576" t="s">
        <v>2571</v>
      </c>
      <c r="S1576" s="7">
        <v>51106</v>
      </c>
      <c r="T1576" s="3">
        <v>42025</v>
      </c>
      <c r="U1576" s="3">
        <v>42027</v>
      </c>
      <c r="V1576" s="4">
        <v>266.76089999999999</v>
      </c>
      <c r="W1576">
        <v>12</v>
      </c>
      <c r="X1576">
        <v>386.61</v>
      </c>
      <c r="Y1576" s="7">
        <v>87553</v>
      </c>
    </row>
    <row r="1577" spans="1:25" ht="12.75" customHeight="1">
      <c r="A1577">
        <v>22787</v>
      </c>
      <c r="B1577" t="s">
        <v>56</v>
      </c>
      <c r="C1577" s="4">
        <v>0</v>
      </c>
      <c r="D1577" s="8">
        <v>5.0199999999999996</v>
      </c>
      <c r="E1577" s="4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 s="5">
        <v>0.79</v>
      </c>
      <c r="O1577" t="s">
        <v>33</v>
      </c>
      <c r="P1577" t="s">
        <v>53</v>
      </c>
      <c r="Q1577" t="s">
        <v>234</v>
      </c>
      <c r="R1577" t="s">
        <v>2573</v>
      </c>
      <c r="S1577" s="7">
        <v>15122</v>
      </c>
      <c r="T1577" s="3">
        <v>42014</v>
      </c>
      <c r="U1577" s="3">
        <v>42015</v>
      </c>
      <c r="V1577" s="4">
        <v>-159.30279999999999</v>
      </c>
      <c r="W1577">
        <v>8</v>
      </c>
      <c r="X1577">
        <v>43.94</v>
      </c>
      <c r="Y1577" s="7">
        <v>87552</v>
      </c>
    </row>
    <row r="1578" spans="1:25" ht="12.75" customHeight="1">
      <c r="A1578">
        <v>23350</v>
      </c>
      <c r="B1578" t="s">
        <v>56</v>
      </c>
      <c r="C1578" s="4">
        <v>0.02</v>
      </c>
      <c r="D1578" s="8">
        <v>4.91</v>
      </c>
      <c r="E1578" s="4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 s="5">
        <v>0.36</v>
      </c>
      <c r="O1578" t="s">
        <v>33</v>
      </c>
      <c r="P1578" t="s">
        <v>53</v>
      </c>
      <c r="Q1578" t="s">
        <v>234</v>
      </c>
      <c r="R1578" t="s">
        <v>2573</v>
      </c>
      <c r="S1578" s="7">
        <v>15122</v>
      </c>
      <c r="T1578" s="3">
        <v>42025</v>
      </c>
      <c r="U1578" s="3">
        <v>42026</v>
      </c>
      <c r="V1578" s="4">
        <v>29.883900000000001</v>
      </c>
      <c r="W1578">
        <v>9</v>
      </c>
      <c r="X1578">
        <v>43.31</v>
      </c>
      <c r="Y1578" s="7">
        <v>87553</v>
      </c>
    </row>
    <row r="1579" spans="1:25">
      <c r="A1579">
        <v>20618</v>
      </c>
      <c r="B1579" t="s">
        <v>106</v>
      </c>
      <c r="C1579" s="4">
        <v>0</v>
      </c>
      <c r="D1579" s="8">
        <v>17.52</v>
      </c>
      <c r="E1579" s="4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 s="5">
        <v>0.5</v>
      </c>
      <c r="O1579" t="s">
        <v>33</v>
      </c>
      <c r="P1579" t="s">
        <v>34</v>
      </c>
      <c r="Q1579" t="s">
        <v>378</v>
      </c>
      <c r="R1579" t="s">
        <v>2527</v>
      </c>
      <c r="S1579" s="7">
        <v>85224</v>
      </c>
      <c r="T1579" s="3">
        <v>42183</v>
      </c>
      <c r="U1579" s="3">
        <v>42188</v>
      </c>
      <c r="V1579" s="4">
        <v>52.763999999999996</v>
      </c>
      <c r="W1579">
        <v>15</v>
      </c>
      <c r="X1579">
        <v>284.33999999999997</v>
      </c>
      <c r="Y1579" s="7">
        <v>91049</v>
      </c>
    </row>
    <row r="1580" spans="1:25" ht="12.75" customHeight="1">
      <c r="A1580">
        <v>18070</v>
      </c>
      <c r="B1580" t="s">
        <v>56</v>
      </c>
      <c r="C1580" s="4">
        <v>7.0000000000000007E-2</v>
      </c>
      <c r="D1580" s="8">
        <v>500.98</v>
      </c>
      <c r="E1580" s="4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 s="5">
        <v>0.38</v>
      </c>
      <c r="O1580" t="s">
        <v>33</v>
      </c>
      <c r="P1580" t="s">
        <v>34</v>
      </c>
      <c r="Q1580" t="s">
        <v>45</v>
      </c>
      <c r="R1580" t="s">
        <v>2578</v>
      </c>
      <c r="S1580" s="7">
        <v>90022</v>
      </c>
      <c r="T1580" s="3">
        <v>42040</v>
      </c>
      <c r="U1580" s="3">
        <v>42041</v>
      </c>
      <c r="V1580" s="4">
        <v>2699.9838</v>
      </c>
      <c r="W1580">
        <v>10</v>
      </c>
      <c r="X1580">
        <v>3913.02</v>
      </c>
      <c r="Y1580" s="7">
        <v>86227</v>
      </c>
    </row>
    <row r="1581" spans="1:25" ht="12.75" customHeight="1">
      <c r="A1581">
        <v>18071</v>
      </c>
      <c r="B1581" t="s">
        <v>56</v>
      </c>
      <c r="C1581" s="4">
        <v>0.1</v>
      </c>
      <c r="D1581" s="8">
        <v>178.47</v>
      </c>
      <c r="E1581" s="4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 s="5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 s="7">
        <v>90022</v>
      </c>
      <c r="T1581" s="3">
        <v>42040</v>
      </c>
      <c r="U1581" s="3">
        <v>42042</v>
      </c>
      <c r="V1581" s="4">
        <v>-170.98</v>
      </c>
      <c r="W1581">
        <v>1</v>
      </c>
      <c r="X1581">
        <v>180.14</v>
      </c>
      <c r="Y1581" s="7">
        <v>86227</v>
      </c>
    </row>
    <row r="1582" spans="1:25" ht="12.75" customHeight="1">
      <c r="A1582">
        <v>24604</v>
      </c>
      <c r="B1582" t="s">
        <v>56</v>
      </c>
      <c r="C1582" s="4">
        <v>7.0000000000000007E-2</v>
      </c>
      <c r="D1582" s="8">
        <v>30.56</v>
      </c>
      <c r="E1582" s="4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 s="5">
        <v>0.35</v>
      </c>
      <c r="O1582" t="s">
        <v>33</v>
      </c>
      <c r="P1582" t="s">
        <v>136</v>
      </c>
      <c r="Q1582" t="s">
        <v>244</v>
      </c>
      <c r="R1582" t="s">
        <v>2581</v>
      </c>
      <c r="S1582" s="7">
        <v>37311</v>
      </c>
      <c r="T1582" s="3">
        <v>42042</v>
      </c>
      <c r="U1582" s="3">
        <v>42042</v>
      </c>
      <c r="V1582" s="4">
        <v>-95.618600000000015</v>
      </c>
      <c r="W1582">
        <v>12</v>
      </c>
      <c r="X1582">
        <v>364.92</v>
      </c>
      <c r="Y1582" s="7">
        <v>88819</v>
      </c>
    </row>
    <row r="1583" spans="1:25" ht="12.75" customHeight="1">
      <c r="A1583">
        <v>24044</v>
      </c>
      <c r="B1583" t="s">
        <v>25</v>
      </c>
      <c r="C1583" s="4">
        <v>0.05</v>
      </c>
      <c r="D1583" s="8">
        <v>4.71</v>
      </c>
      <c r="E1583" s="4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 s="5">
        <v>0.8</v>
      </c>
      <c r="O1583" t="s">
        <v>33</v>
      </c>
      <c r="P1583" t="s">
        <v>53</v>
      </c>
      <c r="Q1583" t="s">
        <v>154</v>
      </c>
      <c r="R1583" t="s">
        <v>401</v>
      </c>
      <c r="S1583" s="7">
        <v>43055</v>
      </c>
      <c r="T1583" s="3">
        <v>42156</v>
      </c>
      <c r="U1583" s="3">
        <v>42157</v>
      </c>
      <c r="V1583" s="4">
        <v>-2.3760000000000003</v>
      </c>
      <c r="W1583">
        <v>2</v>
      </c>
      <c r="X1583">
        <v>12.16</v>
      </c>
      <c r="Y1583" s="7">
        <v>89743</v>
      </c>
    </row>
    <row r="1584" spans="1:25" ht="12.75" customHeight="1">
      <c r="A1584">
        <v>24045</v>
      </c>
      <c r="B1584" t="s">
        <v>25</v>
      </c>
      <c r="C1584" s="4">
        <v>0.04</v>
      </c>
      <c r="D1584" s="8">
        <v>55.99</v>
      </c>
      <c r="E1584" s="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 s="5">
        <v>0.35</v>
      </c>
      <c r="O1584" t="s">
        <v>33</v>
      </c>
      <c r="P1584" t="s">
        <v>53</v>
      </c>
      <c r="Q1584" t="s">
        <v>154</v>
      </c>
      <c r="R1584" t="s">
        <v>401</v>
      </c>
      <c r="S1584" s="7">
        <v>43055</v>
      </c>
      <c r="T1584" s="3">
        <v>42156</v>
      </c>
      <c r="U1584" s="3">
        <v>42157</v>
      </c>
      <c r="V1584" s="4">
        <v>-18.3216</v>
      </c>
      <c r="W1584">
        <v>3</v>
      </c>
      <c r="X1584">
        <v>147.56</v>
      </c>
      <c r="Y1584" s="7">
        <v>89743</v>
      </c>
    </row>
    <row r="1585" spans="1:25" ht="12.75" customHeight="1">
      <c r="A1585">
        <v>24373</v>
      </c>
      <c r="B1585" t="s">
        <v>106</v>
      </c>
      <c r="C1585" s="4">
        <v>0.08</v>
      </c>
      <c r="D1585" s="8">
        <v>6.48</v>
      </c>
      <c r="E1585" s="4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 s="5">
        <v>0.71</v>
      </c>
      <c r="O1585" t="s">
        <v>33</v>
      </c>
      <c r="P1585" t="s">
        <v>61</v>
      </c>
      <c r="Q1585" t="s">
        <v>506</v>
      </c>
      <c r="R1585" t="s">
        <v>2585</v>
      </c>
      <c r="S1585" s="7">
        <v>63129</v>
      </c>
      <c r="T1585" s="3">
        <v>42134</v>
      </c>
      <c r="U1585" s="3">
        <v>42136</v>
      </c>
      <c r="V1585" s="4">
        <v>-82.64</v>
      </c>
      <c r="W1585">
        <v>18</v>
      </c>
      <c r="X1585">
        <v>113.68</v>
      </c>
      <c r="Y1585" s="7">
        <v>87899</v>
      </c>
    </row>
    <row r="1586" spans="1:25" ht="12.75" customHeight="1">
      <c r="A1586">
        <v>24746</v>
      </c>
      <c r="B1586" t="s">
        <v>37</v>
      </c>
      <c r="C1586" s="4">
        <v>0.1</v>
      </c>
      <c r="D1586" s="8">
        <v>22.01</v>
      </c>
      <c r="E1586" s="4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 s="5">
        <v>0.59</v>
      </c>
      <c r="O1586" t="s">
        <v>33</v>
      </c>
      <c r="P1586" t="s">
        <v>61</v>
      </c>
      <c r="Q1586" t="s">
        <v>506</v>
      </c>
      <c r="R1586" t="s">
        <v>2585</v>
      </c>
      <c r="S1586" s="7">
        <v>63129</v>
      </c>
      <c r="T1586" s="3">
        <v>42018</v>
      </c>
      <c r="U1586" s="3">
        <v>42019</v>
      </c>
      <c r="V1586" s="4">
        <v>31.59</v>
      </c>
      <c r="W1586">
        <v>14</v>
      </c>
      <c r="X1586">
        <v>281.75</v>
      </c>
      <c r="Y1586" s="7">
        <v>87900</v>
      </c>
    </row>
    <row r="1587" spans="1:25" ht="12.75" customHeight="1">
      <c r="A1587">
        <v>23803</v>
      </c>
      <c r="B1587" t="s">
        <v>106</v>
      </c>
      <c r="C1587" s="4">
        <v>0.02</v>
      </c>
      <c r="D1587" s="8">
        <v>21.98</v>
      </c>
      <c r="E1587" s="4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 s="5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 s="7">
        <v>89031</v>
      </c>
      <c r="T1587" s="3">
        <v>42124</v>
      </c>
      <c r="U1587" s="3">
        <v>42126</v>
      </c>
      <c r="V1587" s="4">
        <v>165.6345</v>
      </c>
      <c r="W1587">
        <v>11</v>
      </c>
      <c r="X1587">
        <v>240.05</v>
      </c>
      <c r="Y1587" s="7">
        <v>87240</v>
      </c>
    </row>
    <row r="1588" spans="1:25" ht="12.75" customHeight="1">
      <c r="A1588">
        <v>22660</v>
      </c>
      <c r="B1588" t="s">
        <v>106</v>
      </c>
      <c r="C1588" s="4">
        <v>0.02</v>
      </c>
      <c r="D1588" s="8">
        <v>27.48</v>
      </c>
      <c r="E1588" s="4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 s="5">
        <v>0.75</v>
      </c>
      <c r="O1588" t="s">
        <v>33</v>
      </c>
      <c r="P1588" t="s">
        <v>34</v>
      </c>
      <c r="Q1588" t="s">
        <v>1741</v>
      </c>
      <c r="R1588" t="s">
        <v>2454</v>
      </c>
      <c r="S1588" s="7">
        <v>83701</v>
      </c>
      <c r="T1588" s="3">
        <v>42144</v>
      </c>
      <c r="U1588" s="3">
        <v>42151</v>
      </c>
      <c r="V1588" s="4">
        <v>19.308000000000021</v>
      </c>
      <c r="W1588">
        <v>3</v>
      </c>
      <c r="X1588">
        <v>87.21</v>
      </c>
      <c r="Y1588" s="7">
        <v>89497</v>
      </c>
    </row>
    <row r="1589" spans="1:25" ht="12.75" customHeight="1">
      <c r="A1589">
        <v>22661</v>
      </c>
      <c r="B1589" t="s">
        <v>106</v>
      </c>
      <c r="C1589" s="4">
        <v>0.08</v>
      </c>
      <c r="D1589" s="8">
        <v>10.06</v>
      </c>
      <c r="E1589" s="4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 s="5">
        <v>0.39</v>
      </c>
      <c r="O1589" t="s">
        <v>33</v>
      </c>
      <c r="P1589" t="s">
        <v>34</v>
      </c>
      <c r="Q1589" t="s">
        <v>1741</v>
      </c>
      <c r="R1589" t="s">
        <v>2454</v>
      </c>
      <c r="S1589" s="7">
        <v>83701</v>
      </c>
      <c r="T1589" s="3">
        <v>42144</v>
      </c>
      <c r="U1589" s="3">
        <v>42148</v>
      </c>
      <c r="V1589" s="4">
        <v>0.32999999999999691</v>
      </c>
      <c r="W1589">
        <v>4</v>
      </c>
      <c r="X1589">
        <v>40.15</v>
      </c>
      <c r="Y1589" s="7">
        <v>89497</v>
      </c>
    </row>
    <row r="1590" spans="1:25" ht="12.75" customHeight="1">
      <c r="A1590">
        <v>24607</v>
      </c>
      <c r="B1590" t="s">
        <v>25</v>
      </c>
      <c r="C1590" s="4">
        <v>0.05</v>
      </c>
      <c r="D1590" s="8">
        <v>11.29</v>
      </c>
      <c r="E1590" s="4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 s="5">
        <v>0.59</v>
      </c>
      <c r="O1590" t="s">
        <v>33</v>
      </c>
      <c r="P1590" t="s">
        <v>34</v>
      </c>
      <c r="Q1590" t="s">
        <v>45</v>
      </c>
      <c r="R1590" t="s">
        <v>2591</v>
      </c>
      <c r="S1590" s="7">
        <v>92243</v>
      </c>
      <c r="T1590" s="3">
        <v>42054</v>
      </c>
      <c r="U1590" s="3">
        <v>42056</v>
      </c>
      <c r="V1590" s="4">
        <v>-35.26</v>
      </c>
      <c r="W1590">
        <v>8</v>
      </c>
      <c r="X1590">
        <v>90.46</v>
      </c>
      <c r="Y1590" s="7">
        <v>87720</v>
      </c>
    </row>
    <row r="1591" spans="1:25" ht="12.75" customHeight="1">
      <c r="A1591">
        <v>23431</v>
      </c>
      <c r="B1591" t="s">
        <v>56</v>
      </c>
      <c r="C1591" s="4">
        <v>7.0000000000000007E-2</v>
      </c>
      <c r="D1591" s="8">
        <v>39.479999999999997</v>
      </c>
      <c r="E1591" s="4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 s="5">
        <v>0.54</v>
      </c>
      <c r="O1591" t="s">
        <v>33</v>
      </c>
      <c r="P1591" t="s">
        <v>34</v>
      </c>
      <c r="Q1591" t="s">
        <v>45</v>
      </c>
      <c r="R1591" t="s">
        <v>2591</v>
      </c>
      <c r="S1591" s="7">
        <v>92243</v>
      </c>
      <c r="T1591" s="3">
        <v>42156</v>
      </c>
      <c r="U1591" s="3">
        <v>42157</v>
      </c>
      <c r="V1591" s="4">
        <v>322.25069999999994</v>
      </c>
      <c r="W1591">
        <v>12</v>
      </c>
      <c r="X1591">
        <v>467.03</v>
      </c>
      <c r="Y1591" s="7">
        <v>87721</v>
      </c>
    </row>
    <row r="1592" spans="1:25" ht="12.75" customHeight="1">
      <c r="A1592">
        <v>20594</v>
      </c>
      <c r="B1592" t="s">
        <v>37</v>
      </c>
      <c r="C1592" s="4">
        <v>0.03</v>
      </c>
      <c r="D1592" s="8">
        <v>140.97999999999999</v>
      </c>
      <c r="E1592" s="4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 s="5">
        <v>0.77</v>
      </c>
      <c r="O1592" t="s">
        <v>33</v>
      </c>
      <c r="P1592" t="s">
        <v>61</v>
      </c>
      <c r="Q1592" t="s">
        <v>62</v>
      </c>
      <c r="R1592" t="s">
        <v>2593</v>
      </c>
      <c r="S1592" s="7">
        <v>55076</v>
      </c>
      <c r="T1592" s="3">
        <v>42088</v>
      </c>
      <c r="U1592" s="3">
        <v>42090</v>
      </c>
      <c r="V1592" s="4">
        <v>-221.5</v>
      </c>
      <c r="W1592">
        <v>4</v>
      </c>
      <c r="X1592">
        <v>608.80999999999995</v>
      </c>
      <c r="Y1592" s="7">
        <v>91030</v>
      </c>
    </row>
    <row r="1593" spans="1:25" ht="12.75" customHeight="1">
      <c r="A1593">
        <v>20595</v>
      </c>
      <c r="B1593" t="s">
        <v>37</v>
      </c>
      <c r="C1593" s="4">
        <v>0.08</v>
      </c>
      <c r="D1593" s="8">
        <v>65.989999999999995</v>
      </c>
      <c r="E1593" s="4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 s="5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 s="7">
        <v>55076</v>
      </c>
      <c r="T1593" s="3">
        <v>42088</v>
      </c>
      <c r="U1593" s="3">
        <v>42089</v>
      </c>
      <c r="V1593" s="4">
        <v>206.352</v>
      </c>
      <c r="W1593">
        <v>15</v>
      </c>
      <c r="X1593">
        <v>808.61</v>
      </c>
      <c r="Y1593" s="7">
        <v>91030</v>
      </c>
    </row>
    <row r="1594" spans="1:25" ht="12.75" customHeight="1">
      <c r="A1594">
        <v>19191</v>
      </c>
      <c r="B1594" t="s">
        <v>25</v>
      </c>
      <c r="C1594" s="4">
        <v>7.0000000000000007E-2</v>
      </c>
      <c r="D1594" s="8">
        <v>51.98</v>
      </c>
      <c r="E1594" s="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 s="5">
        <v>0.37</v>
      </c>
      <c r="O1594" t="s">
        <v>33</v>
      </c>
      <c r="P1594" t="s">
        <v>61</v>
      </c>
      <c r="Q1594" t="s">
        <v>304</v>
      </c>
      <c r="R1594" t="s">
        <v>2595</v>
      </c>
      <c r="S1594" s="7">
        <v>74133</v>
      </c>
      <c r="T1594" s="3">
        <v>42071</v>
      </c>
      <c r="U1594" s="3">
        <v>42073</v>
      </c>
      <c r="V1594" s="4">
        <v>439.78529999999995</v>
      </c>
      <c r="W1594">
        <v>13</v>
      </c>
      <c r="X1594">
        <v>637.37</v>
      </c>
      <c r="Y1594" s="7">
        <v>89801</v>
      </c>
    </row>
    <row r="1595" spans="1:25" ht="12.75" customHeight="1">
      <c r="A1595">
        <v>19192</v>
      </c>
      <c r="B1595" t="s">
        <v>25</v>
      </c>
      <c r="C1595" s="4">
        <v>0.1</v>
      </c>
      <c r="D1595" s="8">
        <v>80.97</v>
      </c>
      <c r="E1595" s="4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 s="5">
        <v>0.37</v>
      </c>
      <c r="O1595" t="s">
        <v>33</v>
      </c>
      <c r="P1595" t="s">
        <v>61</v>
      </c>
      <c r="Q1595" t="s">
        <v>304</v>
      </c>
      <c r="R1595" t="s">
        <v>2595</v>
      </c>
      <c r="S1595" s="7">
        <v>74133</v>
      </c>
      <c r="T1595" s="3">
        <v>42071</v>
      </c>
      <c r="U1595" s="3">
        <v>42074</v>
      </c>
      <c r="V1595" s="4">
        <v>-149.4573</v>
      </c>
      <c r="W1595">
        <v>3</v>
      </c>
      <c r="X1595">
        <v>232.16</v>
      </c>
      <c r="Y1595" s="7">
        <v>89801</v>
      </c>
    </row>
    <row r="1596" spans="1:25" ht="12.75" customHeight="1">
      <c r="A1596">
        <v>18416</v>
      </c>
      <c r="B1596" t="s">
        <v>25</v>
      </c>
      <c r="C1596" s="4">
        <v>0</v>
      </c>
      <c r="D1596" s="8">
        <v>21.98</v>
      </c>
      <c r="E1596" s="4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 s="5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 s="7">
        <v>33161</v>
      </c>
      <c r="T1596" s="3">
        <v>42082</v>
      </c>
      <c r="U1596" s="3">
        <v>42083</v>
      </c>
      <c r="V1596" s="4">
        <v>21.095999999999997</v>
      </c>
      <c r="W1596">
        <v>16</v>
      </c>
      <c r="X1596">
        <v>360.03</v>
      </c>
      <c r="Y1596" s="7">
        <v>87884</v>
      </c>
    </row>
    <row r="1597" spans="1:25" ht="12.75" customHeight="1">
      <c r="A1597">
        <v>18419</v>
      </c>
      <c r="B1597" t="s">
        <v>56</v>
      </c>
      <c r="C1597" s="4">
        <v>0.05</v>
      </c>
      <c r="D1597" s="8">
        <v>15.68</v>
      </c>
      <c r="E1597" s="4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 s="5">
        <v>0.46</v>
      </c>
      <c r="O1597" t="s">
        <v>33</v>
      </c>
      <c r="P1597" t="s">
        <v>136</v>
      </c>
      <c r="Q1597" t="s">
        <v>362</v>
      </c>
      <c r="R1597" t="s">
        <v>2597</v>
      </c>
      <c r="S1597" s="7">
        <v>33161</v>
      </c>
      <c r="T1597" s="3">
        <v>42166</v>
      </c>
      <c r="U1597" s="3">
        <v>42168</v>
      </c>
      <c r="V1597" s="4">
        <v>1166.6280000000002</v>
      </c>
      <c r="W1597">
        <v>17</v>
      </c>
      <c r="X1597">
        <v>260.01</v>
      </c>
      <c r="Y1597" s="7">
        <v>87885</v>
      </c>
    </row>
    <row r="1598" spans="1:25" ht="12.75" customHeight="1">
      <c r="A1598">
        <v>18420</v>
      </c>
      <c r="B1598" t="s">
        <v>56</v>
      </c>
      <c r="C1598" s="4">
        <v>0</v>
      </c>
      <c r="D1598" s="8">
        <v>14.98</v>
      </c>
      <c r="E1598" s="4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 s="5">
        <v>0.39</v>
      </c>
      <c r="O1598" t="s">
        <v>33</v>
      </c>
      <c r="P1598" t="s">
        <v>136</v>
      </c>
      <c r="Q1598" t="s">
        <v>362</v>
      </c>
      <c r="R1598" t="s">
        <v>2597</v>
      </c>
      <c r="S1598" s="7">
        <v>33161</v>
      </c>
      <c r="T1598" s="3">
        <v>42166</v>
      </c>
      <c r="U1598" s="3">
        <v>42167</v>
      </c>
      <c r="V1598" s="4">
        <v>-40.604199999999999</v>
      </c>
      <c r="W1598">
        <v>18</v>
      </c>
      <c r="X1598">
        <v>273.79000000000002</v>
      </c>
      <c r="Y1598" s="7">
        <v>87885</v>
      </c>
    </row>
    <row r="1599" spans="1:25" ht="12.75" customHeight="1">
      <c r="A1599">
        <v>18421</v>
      </c>
      <c r="B1599" t="s">
        <v>56</v>
      </c>
      <c r="C1599" s="4">
        <v>0.02</v>
      </c>
      <c r="D1599" s="8">
        <v>38.76</v>
      </c>
      <c r="E1599" s="4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 s="5">
        <v>0.36</v>
      </c>
      <c r="O1599" t="s">
        <v>33</v>
      </c>
      <c r="P1599" t="s">
        <v>136</v>
      </c>
      <c r="Q1599" t="s">
        <v>362</v>
      </c>
      <c r="R1599" t="s">
        <v>2597</v>
      </c>
      <c r="S1599" s="7">
        <v>33161</v>
      </c>
      <c r="T1599" s="3">
        <v>42166</v>
      </c>
      <c r="U1599" s="3">
        <v>42167</v>
      </c>
      <c r="V1599" s="4">
        <v>-294.084</v>
      </c>
      <c r="W1599">
        <v>1</v>
      </c>
      <c r="X1599">
        <v>44.62</v>
      </c>
      <c r="Y1599" s="7">
        <v>87885</v>
      </c>
    </row>
    <row r="1600" spans="1:25" ht="12.75" customHeight="1">
      <c r="A1600">
        <v>21855</v>
      </c>
      <c r="B1600" t="s">
        <v>37</v>
      </c>
      <c r="C1600" s="4">
        <v>0.04</v>
      </c>
      <c r="D1600" s="8">
        <v>90.48</v>
      </c>
      <c r="E1600" s="4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 s="5">
        <v>0.4</v>
      </c>
      <c r="O1600" t="s">
        <v>33</v>
      </c>
      <c r="P1600" t="s">
        <v>136</v>
      </c>
      <c r="Q1600" t="s">
        <v>244</v>
      </c>
      <c r="R1600" t="s">
        <v>2601</v>
      </c>
      <c r="S1600" s="7">
        <v>38017</v>
      </c>
      <c r="T1600" s="3">
        <v>42103</v>
      </c>
      <c r="U1600" s="3">
        <v>42105</v>
      </c>
      <c r="V1600" s="4">
        <v>55.555199999999999</v>
      </c>
      <c r="W1600">
        <v>3</v>
      </c>
      <c r="X1600">
        <v>268.64</v>
      </c>
      <c r="Y1600" s="7">
        <v>85928</v>
      </c>
    </row>
    <row r="1601" spans="1:25" ht="12.75" customHeight="1">
      <c r="A1601">
        <v>21856</v>
      </c>
      <c r="B1601" t="s">
        <v>37</v>
      </c>
      <c r="C1601" s="4">
        <v>0.02</v>
      </c>
      <c r="D1601" s="8">
        <v>9.77</v>
      </c>
      <c r="E1601" s="4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 s="5">
        <v>0.48</v>
      </c>
      <c r="O1601" t="s">
        <v>33</v>
      </c>
      <c r="P1601" t="s">
        <v>136</v>
      </c>
      <c r="Q1601" t="s">
        <v>244</v>
      </c>
      <c r="R1601" t="s">
        <v>2601</v>
      </c>
      <c r="S1601" s="7">
        <v>38017</v>
      </c>
      <c r="T1601" s="3">
        <v>42103</v>
      </c>
      <c r="U1601" s="3">
        <v>42104</v>
      </c>
      <c r="V1601" s="4">
        <v>-535.33199999999999</v>
      </c>
      <c r="W1601">
        <v>9</v>
      </c>
      <c r="X1601">
        <v>87.68</v>
      </c>
      <c r="Y1601" s="7">
        <v>85928</v>
      </c>
    </row>
    <row r="1602" spans="1:25" ht="12.75" customHeight="1">
      <c r="A1602">
        <v>21857</v>
      </c>
      <c r="B1602" t="s">
        <v>37</v>
      </c>
      <c r="C1602" s="4">
        <v>0.09</v>
      </c>
      <c r="D1602" s="8">
        <v>34.99</v>
      </c>
      <c r="E1602" s="4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 s="5">
        <v>0.59</v>
      </c>
      <c r="O1602" t="s">
        <v>33</v>
      </c>
      <c r="P1602" t="s">
        <v>136</v>
      </c>
      <c r="Q1602" t="s">
        <v>244</v>
      </c>
      <c r="R1602" t="s">
        <v>2601</v>
      </c>
      <c r="S1602" s="7">
        <v>38017</v>
      </c>
      <c r="T1602" s="3">
        <v>42103</v>
      </c>
      <c r="U1602" s="3">
        <v>42105</v>
      </c>
      <c r="V1602" s="4">
        <v>-208.72039999999998</v>
      </c>
      <c r="W1602">
        <v>1</v>
      </c>
      <c r="X1602">
        <v>37.619999999999997</v>
      </c>
      <c r="Y1602" s="7">
        <v>85928</v>
      </c>
    </row>
    <row r="1603" spans="1:25" ht="12.75" customHeight="1">
      <c r="A1603">
        <v>24455</v>
      </c>
      <c r="B1603" t="s">
        <v>56</v>
      </c>
      <c r="C1603" s="4">
        <v>0</v>
      </c>
      <c r="D1603" s="8">
        <v>49.99</v>
      </c>
      <c r="E1603" s="4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 s="5">
        <v>0.41</v>
      </c>
      <c r="O1603" t="s">
        <v>33</v>
      </c>
      <c r="P1603" t="s">
        <v>136</v>
      </c>
      <c r="Q1603" t="s">
        <v>244</v>
      </c>
      <c r="R1603" t="s">
        <v>2603</v>
      </c>
      <c r="S1603" s="7">
        <v>38401</v>
      </c>
      <c r="T1603" s="3">
        <v>42161</v>
      </c>
      <c r="U1603" s="3">
        <v>42163</v>
      </c>
      <c r="V1603" s="4">
        <v>38.885999999999996</v>
      </c>
      <c r="W1603">
        <v>16</v>
      </c>
      <c r="X1603">
        <v>832.97</v>
      </c>
      <c r="Y1603" s="7">
        <v>85929</v>
      </c>
    </row>
    <row r="1604" spans="1:25" ht="12.75" customHeight="1">
      <c r="A1604">
        <v>23622</v>
      </c>
      <c r="B1604" t="s">
        <v>106</v>
      </c>
      <c r="C1604" s="4">
        <v>0.05</v>
      </c>
      <c r="D1604" s="8">
        <v>115.99</v>
      </c>
      <c r="E1604" s="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 s="5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 s="7">
        <v>79762</v>
      </c>
      <c r="T1604" s="3">
        <v>42103</v>
      </c>
      <c r="U1604" s="3">
        <v>42107</v>
      </c>
      <c r="V1604" s="4">
        <v>719.35259999999994</v>
      </c>
      <c r="W1604">
        <v>11</v>
      </c>
      <c r="X1604">
        <v>1042.54</v>
      </c>
      <c r="Y1604" s="7">
        <v>86454</v>
      </c>
    </row>
    <row r="1605" spans="1:25" ht="12.75" customHeight="1">
      <c r="A1605">
        <v>23042</v>
      </c>
      <c r="B1605" t="s">
        <v>56</v>
      </c>
      <c r="C1605" s="4">
        <v>0.08</v>
      </c>
      <c r="D1605" s="8">
        <v>7.84</v>
      </c>
      <c r="E1605" s="4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 s="5">
        <v>0.35</v>
      </c>
      <c r="O1605" t="s">
        <v>33</v>
      </c>
      <c r="P1605" t="s">
        <v>34</v>
      </c>
      <c r="Q1605" t="s">
        <v>35</v>
      </c>
      <c r="R1605" t="s">
        <v>2607</v>
      </c>
      <c r="S1605" s="7">
        <v>98198</v>
      </c>
      <c r="T1605" s="3">
        <v>42025</v>
      </c>
      <c r="U1605" s="3">
        <v>42026</v>
      </c>
      <c r="V1605" s="4">
        <v>-12.876779999999998</v>
      </c>
      <c r="W1605">
        <v>10</v>
      </c>
      <c r="X1605">
        <v>76.16</v>
      </c>
      <c r="Y1605" s="7">
        <v>87316</v>
      </c>
    </row>
    <row r="1606" spans="1:25" ht="12.75" customHeight="1">
      <c r="A1606">
        <v>23043</v>
      </c>
      <c r="B1606" t="s">
        <v>56</v>
      </c>
      <c r="C1606" s="4">
        <v>0.03</v>
      </c>
      <c r="D1606" s="8">
        <v>105.34</v>
      </c>
      <c r="E1606" s="4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 s="5">
        <v>0.61</v>
      </c>
      <c r="O1606" t="s">
        <v>33</v>
      </c>
      <c r="P1606" t="s">
        <v>34</v>
      </c>
      <c r="Q1606" t="s">
        <v>35</v>
      </c>
      <c r="R1606" t="s">
        <v>2607</v>
      </c>
      <c r="S1606" s="7">
        <v>98198</v>
      </c>
      <c r="T1606" s="3">
        <v>42025</v>
      </c>
      <c r="U1606" s="3">
        <v>42026</v>
      </c>
      <c r="V1606" s="4">
        <v>618.13080000000002</v>
      </c>
      <c r="W1606">
        <v>10</v>
      </c>
      <c r="X1606">
        <v>1038.1400000000001</v>
      </c>
      <c r="Y1606" s="7">
        <v>87316</v>
      </c>
    </row>
    <row r="1607" spans="1:25" ht="12.75" customHeight="1">
      <c r="A1607">
        <v>23213</v>
      </c>
      <c r="B1607" t="s">
        <v>106</v>
      </c>
      <c r="C1607" s="4">
        <v>0.09</v>
      </c>
      <c r="D1607" s="8">
        <v>6783.02</v>
      </c>
      <c r="E1607" s="4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 s="5">
        <v>0.39</v>
      </c>
      <c r="O1607" t="s">
        <v>33</v>
      </c>
      <c r="P1607" t="s">
        <v>34</v>
      </c>
      <c r="Q1607" t="s">
        <v>35</v>
      </c>
      <c r="R1607" t="s">
        <v>2607</v>
      </c>
      <c r="S1607" s="7">
        <v>98198</v>
      </c>
      <c r="T1607" s="3">
        <v>42073</v>
      </c>
      <c r="U1607" s="3">
        <v>42077</v>
      </c>
      <c r="V1607" s="4">
        <v>-14140.7016</v>
      </c>
      <c r="W1607">
        <v>1</v>
      </c>
      <c r="X1607">
        <v>6296</v>
      </c>
      <c r="Y1607" s="7">
        <v>87317</v>
      </c>
    </row>
    <row r="1608" spans="1:25" ht="12.75" customHeight="1">
      <c r="A1608">
        <v>18516</v>
      </c>
      <c r="B1608" t="s">
        <v>56</v>
      </c>
      <c r="C1608" s="4">
        <v>0.06</v>
      </c>
      <c r="D1608" s="8">
        <v>2.94</v>
      </c>
      <c r="E1608" s="4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 s="5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 s="7">
        <v>32259</v>
      </c>
      <c r="T1608" s="3">
        <v>42141</v>
      </c>
      <c r="U1608" s="3">
        <v>42142</v>
      </c>
      <c r="V1608" s="4">
        <v>-8.8759999999999994</v>
      </c>
      <c r="W1608">
        <v>3</v>
      </c>
      <c r="X1608">
        <v>8.7899999999999991</v>
      </c>
      <c r="Y1608" s="7">
        <v>88279</v>
      </c>
    </row>
    <row r="1609" spans="1:25" ht="12.75" customHeight="1">
      <c r="A1609">
        <v>18506</v>
      </c>
      <c r="B1609" t="s">
        <v>106</v>
      </c>
      <c r="C1609" s="4">
        <v>0.04</v>
      </c>
      <c r="D1609" s="8">
        <v>67.28</v>
      </c>
      <c r="E1609" s="4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 s="5">
        <v>0.4</v>
      </c>
      <c r="O1609" t="s">
        <v>33</v>
      </c>
      <c r="P1609" t="s">
        <v>136</v>
      </c>
      <c r="Q1609" t="s">
        <v>362</v>
      </c>
      <c r="R1609" t="s">
        <v>2233</v>
      </c>
      <c r="S1609" s="7">
        <v>32259</v>
      </c>
      <c r="T1609" s="3">
        <v>42147</v>
      </c>
      <c r="U1609" s="3">
        <v>42152</v>
      </c>
      <c r="V1609" s="4">
        <v>14.754</v>
      </c>
      <c r="W1609">
        <v>30</v>
      </c>
      <c r="X1609">
        <v>2051.6799999999998</v>
      </c>
      <c r="Y1609" s="7">
        <v>88282</v>
      </c>
    </row>
    <row r="1610" spans="1:25" ht="12.75" customHeight="1">
      <c r="A1610">
        <v>18507</v>
      </c>
      <c r="B1610" t="s">
        <v>106</v>
      </c>
      <c r="C1610" s="4">
        <v>0.1</v>
      </c>
      <c r="D1610" s="8">
        <v>130.97999999999999</v>
      </c>
      <c r="E1610" s="4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 s="5">
        <v>0.69</v>
      </c>
      <c r="O1610" t="s">
        <v>33</v>
      </c>
      <c r="P1610" t="s">
        <v>136</v>
      </c>
      <c r="Q1610" t="s">
        <v>362</v>
      </c>
      <c r="R1610" t="s">
        <v>2233</v>
      </c>
      <c r="S1610" s="7">
        <v>32259</v>
      </c>
      <c r="T1610" s="3">
        <v>42147</v>
      </c>
      <c r="U1610" s="3">
        <v>42147</v>
      </c>
      <c r="V1610" s="4">
        <v>669.61199999999997</v>
      </c>
      <c r="W1610">
        <v>42</v>
      </c>
      <c r="X1610">
        <v>5295.03</v>
      </c>
      <c r="Y1610" s="7">
        <v>88282</v>
      </c>
    </row>
    <row r="1611" spans="1:25" ht="12.75" customHeight="1">
      <c r="A1611">
        <v>18508</v>
      </c>
      <c r="B1611" t="s">
        <v>106</v>
      </c>
      <c r="C1611" s="4">
        <v>0.04</v>
      </c>
      <c r="D1611" s="8">
        <v>2.78</v>
      </c>
      <c r="E1611" s="4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 s="5">
        <v>0.59</v>
      </c>
      <c r="O1611" t="s">
        <v>33</v>
      </c>
      <c r="P1611" t="s">
        <v>136</v>
      </c>
      <c r="Q1611" t="s">
        <v>362</v>
      </c>
      <c r="R1611" t="s">
        <v>2233</v>
      </c>
      <c r="S1611" s="7">
        <v>32259</v>
      </c>
      <c r="T1611" s="3">
        <v>42147</v>
      </c>
      <c r="U1611" s="3">
        <v>42147</v>
      </c>
      <c r="V1611" s="4">
        <v>213</v>
      </c>
      <c r="W1611">
        <v>28</v>
      </c>
      <c r="X1611">
        <v>80.27</v>
      </c>
      <c r="Y1611" s="7">
        <v>88282</v>
      </c>
    </row>
    <row r="1612" spans="1:25" ht="12.75" customHeight="1">
      <c r="A1612">
        <v>20270</v>
      </c>
      <c r="B1612" t="s">
        <v>37</v>
      </c>
      <c r="C1612" s="4">
        <v>0.03</v>
      </c>
      <c r="D1612" s="8">
        <v>142.86000000000001</v>
      </c>
      <c r="E1612" s="4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 s="5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 s="7">
        <v>32601</v>
      </c>
      <c r="T1612" s="3">
        <v>42095</v>
      </c>
      <c r="U1612" s="3">
        <v>42097</v>
      </c>
      <c r="V1612" s="4">
        <v>-8.3881000000000014</v>
      </c>
      <c r="W1612">
        <v>23</v>
      </c>
      <c r="X1612">
        <v>3292.02</v>
      </c>
      <c r="Y1612" s="7">
        <v>88281</v>
      </c>
    </row>
    <row r="1613" spans="1:25" ht="12.75" customHeight="1">
      <c r="A1613">
        <v>23238</v>
      </c>
      <c r="B1613" t="s">
        <v>56</v>
      </c>
      <c r="C1613" s="4">
        <v>0.05</v>
      </c>
      <c r="D1613" s="8">
        <v>20.99</v>
      </c>
      <c r="E1613" s="4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 s="5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 s="7">
        <v>67601</v>
      </c>
      <c r="T1613" s="3">
        <v>42063</v>
      </c>
      <c r="U1613" s="3">
        <v>42063</v>
      </c>
      <c r="V1613" s="4">
        <v>4.9017600000000003</v>
      </c>
      <c r="W1613">
        <v>11</v>
      </c>
      <c r="X1613">
        <v>199.43</v>
      </c>
      <c r="Y1613" s="7">
        <v>88280</v>
      </c>
    </row>
    <row r="1614" spans="1:25" ht="12.75" customHeight="1">
      <c r="A1614">
        <v>25932</v>
      </c>
      <c r="B1614" t="s">
        <v>25</v>
      </c>
      <c r="C1614" s="4">
        <v>0</v>
      </c>
      <c r="D1614" s="8">
        <v>12.22</v>
      </c>
      <c r="E1614" s="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 s="5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 s="7">
        <v>68128</v>
      </c>
      <c r="T1614" s="3">
        <v>42105</v>
      </c>
      <c r="U1614" s="3">
        <v>42106</v>
      </c>
      <c r="V1614" s="4">
        <v>76.389899999999983</v>
      </c>
      <c r="W1614">
        <v>9</v>
      </c>
      <c r="X1614">
        <v>110.71</v>
      </c>
      <c r="Y1614" s="7">
        <v>88278</v>
      </c>
    </row>
    <row r="1615" spans="1:25" ht="12.75" customHeight="1">
      <c r="A1615">
        <v>23136</v>
      </c>
      <c r="B1615" t="s">
        <v>47</v>
      </c>
      <c r="C1615" s="4">
        <v>0.01</v>
      </c>
      <c r="D1615" s="8">
        <v>13.79</v>
      </c>
      <c r="E1615" s="4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 s="5">
        <v>0.43</v>
      </c>
      <c r="O1615" t="s">
        <v>33</v>
      </c>
      <c r="P1615" t="s">
        <v>61</v>
      </c>
      <c r="Q1615" t="s">
        <v>130</v>
      </c>
      <c r="R1615" t="s">
        <v>2616</v>
      </c>
      <c r="S1615" s="7">
        <v>75460</v>
      </c>
      <c r="T1615" s="3">
        <v>42058</v>
      </c>
      <c r="U1615" s="3">
        <v>42060</v>
      </c>
      <c r="V1615" s="4">
        <v>-36.770000000000003</v>
      </c>
      <c r="W1615">
        <v>4</v>
      </c>
      <c r="X1615">
        <v>56.68</v>
      </c>
      <c r="Y1615" s="7">
        <v>90871</v>
      </c>
    </row>
    <row r="1616" spans="1:25" ht="12.75" customHeight="1">
      <c r="A1616">
        <v>23137</v>
      </c>
      <c r="B1616" t="s">
        <v>47</v>
      </c>
      <c r="C1616" s="4">
        <v>0.04</v>
      </c>
      <c r="D1616" s="8">
        <v>33.29</v>
      </c>
      <c r="E1616" s="4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 s="5">
        <v>0.61</v>
      </c>
      <c r="O1616" t="s">
        <v>33</v>
      </c>
      <c r="P1616" t="s">
        <v>61</v>
      </c>
      <c r="Q1616" t="s">
        <v>130</v>
      </c>
      <c r="R1616" t="s">
        <v>2616</v>
      </c>
      <c r="S1616" s="7">
        <v>75460</v>
      </c>
      <c r="T1616" s="3">
        <v>42058</v>
      </c>
      <c r="U1616" s="3">
        <v>42059</v>
      </c>
      <c r="V1616" s="4">
        <v>87.03</v>
      </c>
      <c r="W1616">
        <v>8</v>
      </c>
      <c r="X1616">
        <v>273.33999999999997</v>
      </c>
      <c r="Y1616" s="7">
        <v>90871</v>
      </c>
    </row>
    <row r="1617" spans="1:25" ht="12.75" customHeight="1">
      <c r="A1617">
        <v>1529</v>
      </c>
      <c r="B1617" t="s">
        <v>25</v>
      </c>
      <c r="C1617" s="4">
        <v>0.01</v>
      </c>
      <c r="D1617" s="8">
        <v>125.99</v>
      </c>
      <c r="E1617" s="4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 s="5">
        <v>0.59</v>
      </c>
      <c r="O1617" t="s">
        <v>33</v>
      </c>
      <c r="P1617" t="s">
        <v>53</v>
      </c>
      <c r="Q1617" t="s">
        <v>1008</v>
      </c>
      <c r="R1617" t="s">
        <v>35</v>
      </c>
      <c r="S1617" s="7">
        <v>20016</v>
      </c>
      <c r="T1617" s="3">
        <v>42111</v>
      </c>
      <c r="U1617" s="3">
        <v>42112</v>
      </c>
      <c r="V1617" s="4">
        <v>-582.64799999999991</v>
      </c>
      <c r="W1617">
        <v>2</v>
      </c>
      <c r="X1617">
        <v>226.88</v>
      </c>
      <c r="Y1617" s="7">
        <v>11013</v>
      </c>
    </row>
    <row r="1618" spans="1:25" ht="12.75" customHeight="1">
      <c r="A1618">
        <v>18998</v>
      </c>
      <c r="B1618" t="s">
        <v>25</v>
      </c>
      <c r="C1618" s="4">
        <v>0.03</v>
      </c>
      <c r="D1618" s="8">
        <v>896.99</v>
      </c>
      <c r="E1618" s="4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 s="5">
        <v>0.38</v>
      </c>
      <c r="O1618" t="s">
        <v>33</v>
      </c>
      <c r="P1618" t="s">
        <v>34</v>
      </c>
      <c r="Q1618" t="s">
        <v>35</v>
      </c>
      <c r="R1618" t="s">
        <v>2620</v>
      </c>
      <c r="S1618" s="7">
        <v>98026</v>
      </c>
      <c r="T1618" s="3">
        <v>42012</v>
      </c>
      <c r="U1618" s="3">
        <v>42014</v>
      </c>
      <c r="V1618" s="4">
        <v>3602.1311999999994</v>
      </c>
      <c r="W1618">
        <v>6</v>
      </c>
      <c r="X1618">
        <v>5220.4799999999996</v>
      </c>
      <c r="Y1618" s="7">
        <v>85826</v>
      </c>
    </row>
    <row r="1619" spans="1:25" ht="12.75" customHeight="1">
      <c r="A1619">
        <v>19529</v>
      </c>
      <c r="B1619" t="s">
        <v>25</v>
      </c>
      <c r="C1619" s="4">
        <v>0.01</v>
      </c>
      <c r="D1619" s="8">
        <v>125.99</v>
      </c>
      <c r="E1619" s="4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 s="5">
        <v>0.59</v>
      </c>
      <c r="O1619" t="s">
        <v>33</v>
      </c>
      <c r="P1619" t="s">
        <v>34</v>
      </c>
      <c r="Q1619" t="s">
        <v>35</v>
      </c>
      <c r="R1619" t="s">
        <v>2620</v>
      </c>
      <c r="S1619" s="7">
        <v>98026</v>
      </c>
      <c r="T1619" s="3">
        <v>42111</v>
      </c>
      <c r="U1619" s="3">
        <v>42112</v>
      </c>
      <c r="V1619" s="4">
        <v>-582.64799999999991</v>
      </c>
      <c r="W1619">
        <v>1</v>
      </c>
      <c r="X1619">
        <v>113.44</v>
      </c>
      <c r="Y1619" s="7">
        <v>85827</v>
      </c>
    </row>
    <row r="1620" spans="1:25" ht="12.75" customHeight="1">
      <c r="A1620">
        <v>19293</v>
      </c>
      <c r="B1620" t="s">
        <v>37</v>
      </c>
      <c r="C1620" s="4">
        <v>0.08</v>
      </c>
      <c r="D1620" s="8">
        <v>15.99</v>
      </c>
      <c r="E1620" s="4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 s="5">
        <v>0.37</v>
      </c>
      <c r="O1620" t="s">
        <v>33</v>
      </c>
      <c r="P1620" t="s">
        <v>34</v>
      </c>
      <c r="Q1620" t="s">
        <v>35</v>
      </c>
      <c r="R1620" t="s">
        <v>2620</v>
      </c>
      <c r="S1620" s="7">
        <v>98026</v>
      </c>
      <c r="T1620" s="3">
        <v>42149</v>
      </c>
      <c r="U1620" s="3">
        <v>42151</v>
      </c>
      <c r="V1620" s="4">
        <v>-66.584999999999994</v>
      </c>
      <c r="W1620">
        <v>4</v>
      </c>
      <c r="X1620">
        <v>66.02</v>
      </c>
      <c r="Y1620" s="7">
        <v>85828</v>
      </c>
    </row>
    <row r="1621" spans="1:25" ht="12.75" customHeight="1">
      <c r="A1621">
        <v>25724</v>
      </c>
      <c r="B1621" t="s">
        <v>56</v>
      </c>
      <c r="C1621" s="4">
        <v>7.0000000000000007E-2</v>
      </c>
      <c r="D1621" s="8">
        <v>2.89</v>
      </c>
      <c r="E1621" s="4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 s="5">
        <v>0.38</v>
      </c>
      <c r="O1621" t="s">
        <v>33</v>
      </c>
      <c r="P1621" t="s">
        <v>136</v>
      </c>
      <c r="Q1621" t="s">
        <v>362</v>
      </c>
      <c r="R1621" t="s">
        <v>2622</v>
      </c>
      <c r="S1621" s="7">
        <v>33012</v>
      </c>
      <c r="T1621" s="3">
        <v>42026</v>
      </c>
      <c r="U1621" s="3">
        <v>42028</v>
      </c>
      <c r="V1621" s="4">
        <v>441.59399999999999</v>
      </c>
      <c r="W1621">
        <v>12</v>
      </c>
      <c r="X1621">
        <v>33.020000000000003</v>
      </c>
      <c r="Y1621" s="7">
        <v>89872</v>
      </c>
    </row>
    <row r="1622" spans="1:25" ht="12.75" customHeight="1">
      <c r="A1622">
        <v>25725</v>
      </c>
      <c r="B1622" t="s">
        <v>56</v>
      </c>
      <c r="C1622" s="4">
        <v>0</v>
      </c>
      <c r="D1622" s="8">
        <v>217.85</v>
      </c>
      <c r="E1622" s="4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 s="5">
        <v>0.68</v>
      </c>
      <c r="O1622" t="s">
        <v>33</v>
      </c>
      <c r="P1622" t="s">
        <v>136</v>
      </c>
      <c r="Q1622" t="s">
        <v>362</v>
      </c>
      <c r="R1622" t="s">
        <v>2622</v>
      </c>
      <c r="S1622" s="7">
        <v>33012</v>
      </c>
      <c r="T1622" s="3">
        <v>42026</v>
      </c>
      <c r="U1622" s="3">
        <v>42027</v>
      </c>
      <c r="V1622" s="4">
        <v>394.17</v>
      </c>
      <c r="W1622">
        <v>10</v>
      </c>
      <c r="X1622">
        <v>2273.1</v>
      </c>
      <c r="Y1622" s="7">
        <v>89872</v>
      </c>
    </row>
    <row r="1623" spans="1:25" ht="12.75" customHeight="1">
      <c r="A1623">
        <v>21768</v>
      </c>
      <c r="B1623" t="s">
        <v>106</v>
      </c>
      <c r="C1623" s="4">
        <v>0.05</v>
      </c>
      <c r="D1623" s="8">
        <v>4.84</v>
      </c>
      <c r="E1623" s="4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 s="5">
        <v>0.52</v>
      </c>
      <c r="O1623" t="s">
        <v>33</v>
      </c>
      <c r="P1623" t="s">
        <v>61</v>
      </c>
      <c r="Q1623" t="s">
        <v>496</v>
      </c>
      <c r="R1623" t="s">
        <v>2614</v>
      </c>
      <c r="S1623" s="7">
        <v>68128</v>
      </c>
      <c r="T1623" s="3">
        <v>42100</v>
      </c>
      <c r="U1623" s="3">
        <v>42109</v>
      </c>
      <c r="V1623" s="4">
        <v>13.448099999999998</v>
      </c>
      <c r="W1623">
        <v>4</v>
      </c>
      <c r="X1623">
        <v>19.489999999999998</v>
      </c>
      <c r="Y1623" s="7">
        <v>89873</v>
      </c>
    </row>
    <row r="1624" spans="1:25" ht="12.75" customHeight="1">
      <c r="A1624">
        <v>19246</v>
      </c>
      <c r="B1624" t="s">
        <v>47</v>
      </c>
      <c r="C1624" s="4">
        <v>0.03</v>
      </c>
      <c r="D1624" s="8">
        <v>304.99</v>
      </c>
      <c r="E1624" s="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 s="5">
        <v>0.4</v>
      </c>
      <c r="O1624" t="s">
        <v>33</v>
      </c>
      <c r="P1624" t="s">
        <v>61</v>
      </c>
      <c r="Q1624" t="s">
        <v>496</v>
      </c>
      <c r="R1624" t="s">
        <v>2614</v>
      </c>
      <c r="S1624" s="7">
        <v>68128</v>
      </c>
      <c r="T1624" s="3">
        <v>42177</v>
      </c>
      <c r="U1624" s="3">
        <v>42179</v>
      </c>
      <c r="V1624" s="4">
        <v>4033.6089000000002</v>
      </c>
      <c r="W1624">
        <v>19</v>
      </c>
      <c r="X1624">
        <v>5845.81</v>
      </c>
      <c r="Y1624" s="7">
        <v>89874</v>
      </c>
    </row>
    <row r="1625" spans="1:25" ht="12.75" customHeight="1">
      <c r="A1625">
        <v>19247</v>
      </c>
      <c r="B1625" t="s">
        <v>47</v>
      </c>
      <c r="C1625" s="4">
        <v>0.09</v>
      </c>
      <c r="D1625" s="8">
        <v>65.989999999999995</v>
      </c>
      <c r="E1625" s="4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 s="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 s="7">
        <v>68128</v>
      </c>
      <c r="T1625" s="3">
        <v>42177</v>
      </c>
      <c r="U1625" s="3">
        <v>42179</v>
      </c>
      <c r="V1625" s="4">
        <v>141.7824</v>
      </c>
      <c r="W1625">
        <v>12</v>
      </c>
      <c r="X1625">
        <v>633.85</v>
      </c>
      <c r="Y1625" s="7">
        <v>89874</v>
      </c>
    </row>
    <row r="1626" spans="1:25" ht="12.75" customHeight="1">
      <c r="A1626">
        <v>25599</v>
      </c>
      <c r="B1626" t="s">
        <v>37</v>
      </c>
      <c r="C1626" s="4">
        <v>0</v>
      </c>
      <c r="D1626" s="8">
        <v>8.33</v>
      </c>
      <c r="E1626" s="4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 s="5">
        <v>0.52</v>
      </c>
      <c r="O1626" t="s">
        <v>33</v>
      </c>
      <c r="P1626" t="s">
        <v>53</v>
      </c>
      <c r="Q1626" t="s">
        <v>154</v>
      </c>
      <c r="R1626" t="s">
        <v>2628</v>
      </c>
      <c r="S1626" s="7">
        <v>44070</v>
      </c>
      <c r="T1626" s="3">
        <v>42065</v>
      </c>
      <c r="U1626" s="3">
        <v>42067</v>
      </c>
      <c r="V1626" s="4">
        <v>74.181899999999999</v>
      </c>
      <c r="W1626">
        <v>12</v>
      </c>
      <c r="X1626">
        <v>107.51</v>
      </c>
      <c r="Y1626" s="7">
        <v>91492</v>
      </c>
    </row>
    <row r="1627" spans="1:25" ht="12.75" customHeight="1">
      <c r="A1627">
        <v>7599</v>
      </c>
      <c r="B1627" t="s">
        <v>37</v>
      </c>
      <c r="C1627" s="4">
        <v>0</v>
      </c>
      <c r="D1627" s="8">
        <v>8.33</v>
      </c>
      <c r="E1627" s="4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 s="5">
        <v>0.52</v>
      </c>
      <c r="O1627" t="s">
        <v>33</v>
      </c>
      <c r="P1627" t="s">
        <v>34</v>
      </c>
      <c r="Q1627" t="s">
        <v>35</v>
      </c>
      <c r="R1627" t="s">
        <v>209</v>
      </c>
      <c r="S1627" s="7">
        <v>98107</v>
      </c>
      <c r="T1627" s="3">
        <v>42065</v>
      </c>
      <c r="U1627" s="3">
        <v>42067</v>
      </c>
      <c r="V1627" s="4">
        <v>82.31</v>
      </c>
      <c r="W1627">
        <v>47</v>
      </c>
      <c r="X1627">
        <v>421.08</v>
      </c>
      <c r="Y1627" s="7">
        <v>54369</v>
      </c>
    </row>
    <row r="1628" spans="1:25" ht="12.75" customHeight="1">
      <c r="A1628">
        <v>18642</v>
      </c>
      <c r="B1628" t="s">
        <v>56</v>
      </c>
      <c r="C1628" s="4">
        <v>0.05</v>
      </c>
      <c r="D1628" s="8">
        <v>6.68</v>
      </c>
      <c r="E1628" s="4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 s="5">
        <v>0.37</v>
      </c>
      <c r="O1628" t="s">
        <v>33</v>
      </c>
      <c r="P1628" t="s">
        <v>136</v>
      </c>
      <c r="Q1628" t="s">
        <v>362</v>
      </c>
      <c r="R1628" t="s">
        <v>2631</v>
      </c>
      <c r="S1628" s="7">
        <v>33160</v>
      </c>
      <c r="T1628" s="3">
        <v>42091</v>
      </c>
      <c r="U1628" s="3">
        <v>42092</v>
      </c>
      <c r="V1628" s="4">
        <v>-2.3520000000000096</v>
      </c>
      <c r="W1628">
        <v>11</v>
      </c>
      <c r="X1628">
        <v>77.2</v>
      </c>
      <c r="Y1628" s="7">
        <v>88626</v>
      </c>
    </row>
    <row r="1629" spans="1:25" ht="12.75" customHeight="1">
      <c r="A1629">
        <v>20315</v>
      </c>
      <c r="B1629" t="s">
        <v>106</v>
      </c>
      <c r="C1629" s="4">
        <v>0.09</v>
      </c>
      <c r="D1629" s="8">
        <v>243.98</v>
      </c>
      <c r="E1629" s="4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 s="5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 s="7">
        <v>33160</v>
      </c>
      <c r="T1629" s="3">
        <v>42132</v>
      </c>
      <c r="U1629" s="3">
        <v>42137</v>
      </c>
      <c r="V1629" s="4">
        <v>1059.288</v>
      </c>
      <c r="W1629">
        <v>25</v>
      </c>
      <c r="X1629">
        <v>5587.89</v>
      </c>
      <c r="Y1629" s="7">
        <v>88627</v>
      </c>
    </row>
    <row r="1630" spans="1:25" ht="12.75" customHeight="1">
      <c r="A1630">
        <v>7718</v>
      </c>
      <c r="B1630" t="s">
        <v>25</v>
      </c>
      <c r="C1630" s="4">
        <v>0.03</v>
      </c>
      <c r="D1630" s="8">
        <v>4.0599999999999996</v>
      </c>
      <c r="E1630" s="4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 s="5">
        <v>0.6</v>
      </c>
      <c r="O1630" t="s">
        <v>33</v>
      </c>
      <c r="P1630" t="s">
        <v>136</v>
      </c>
      <c r="Q1630" t="s">
        <v>322</v>
      </c>
      <c r="R1630" t="s">
        <v>390</v>
      </c>
      <c r="S1630" s="7">
        <v>28206</v>
      </c>
      <c r="T1630" s="3">
        <v>42055</v>
      </c>
      <c r="U1630" s="3">
        <v>42057</v>
      </c>
      <c r="V1630" s="4">
        <v>-246.27609999999999</v>
      </c>
      <c r="W1630">
        <v>37</v>
      </c>
      <c r="X1630">
        <v>159.88999999999999</v>
      </c>
      <c r="Y1630" s="7">
        <v>55300</v>
      </c>
    </row>
    <row r="1631" spans="1:25" ht="12.75" customHeight="1">
      <c r="A1631">
        <v>7719</v>
      </c>
      <c r="B1631" t="s">
        <v>25</v>
      </c>
      <c r="C1631" s="4">
        <v>0.01</v>
      </c>
      <c r="D1631" s="8">
        <v>3.75</v>
      </c>
      <c r="E1631" s="4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 s="5">
        <v>0.37</v>
      </c>
      <c r="O1631" t="s">
        <v>33</v>
      </c>
      <c r="P1631" t="s">
        <v>136</v>
      </c>
      <c r="Q1631" t="s">
        <v>322</v>
      </c>
      <c r="R1631" t="s">
        <v>390</v>
      </c>
      <c r="S1631" s="7">
        <v>28206</v>
      </c>
      <c r="T1631" s="3">
        <v>42055</v>
      </c>
      <c r="U1631" s="3">
        <v>42056</v>
      </c>
      <c r="V1631" s="4">
        <v>55.194599999999994</v>
      </c>
      <c r="W1631">
        <v>48</v>
      </c>
      <c r="X1631">
        <v>180.48</v>
      </c>
      <c r="Y1631" s="7">
        <v>55300</v>
      </c>
    </row>
    <row r="1632" spans="1:25" ht="12.75" customHeight="1">
      <c r="A1632">
        <v>7720</v>
      </c>
      <c r="B1632" t="s">
        <v>25</v>
      </c>
      <c r="C1632" s="4">
        <v>0.02</v>
      </c>
      <c r="D1632" s="8">
        <v>10.68</v>
      </c>
      <c r="E1632" s="4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 s="5">
        <v>0.6</v>
      </c>
      <c r="O1632" t="s">
        <v>33</v>
      </c>
      <c r="P1632" t="s">
        <v>136</v>
      </c>
      <c r="Q1632" t="s">
        <v>322</v>
      </c>
      <c r="R1632" t="s">
        <v>390</v>
      </c>
      <c r="S1632" s="7">
        <v>28206</v>
      </c>
      <c r="T1632" s="3">
        <v>42055</v>
      </c>
      <c r="U1632" s="3">
        <v>42057</v>
      </c>
      <c r="V1632" s="4">
        <v>-307.29650000000004</v>
      </c>
      <c r="W1632">
        <v>31</v>
      </c>
      <c r="X1632">
        <v>350.48</v>
      </c>
      <c r="Y1632" s="7">
        <v>55300</v>
      </c>
    </row>
    <row r="1633" spans="1:25" ht="12.75" customHeight="1">
      <c r="A1633">
        <v>2314</v>
      </c>
      <c r="B1633" t="s">
        <v>25</v>
      </c>
      <c r="C1633" s="4">
        <v>7.0000000000000007E-2</v>
      </c>
      <c r="D1633" s="8">
        <v>28.99</v>
      </c>
      <c r="E1633" s="4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 s="5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 s="7">
        <v>28206</v>
      </c>
      <c r="T1633" s="3">
        <v>42082</v>
      </c>
      <c r="U1633" s="3">
        <v>42082</v>
      </c>
      <c r="V1633" s="4">
        <v>-16.063740000000003</v>
      </c>
      <c r="W1633">
        <v>39</v>
      </c>
      <c r="X1633">
        <v>936.8</v>
      </c>
      <c r="Y1633" s="7">
        <v>16676</v>
      </c>
    </row>
    <row r="1634" spans="1:25" ht="12.75" customHeight="1">
      <c r="A1634">
        <v>694</v>
      </c>
      <c r="B1634" t="s">
        <v>47</v>
      </c>
      <c r="C1634" s="4">
        <v>0.05</v>
      </c>
      <c r="D1634" s="8">
        <v>6.48</v>
      </c>
      <c r="E1634" s="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 s="5">
        <v>0.37</v>
      </c>
      <c r="O1634" t="s">
        <v>33</v>
      </c>
      <c r="P1634" t="s">
        <v>136</v>
      </c>
      <c r="Q1634" t="s">
        <v>322</v>
      </c>
      <c r="R1634" t="s">
        <v>390</v>
      </c>
      <c r="S1634" s="7">
        <v>28206</v>
      </c>
      <c r="T1634" s="3">
        <v>42133</v>
      </c>
      <c r="U1634" s="3">
        <v>42133</v>
      </c>
      <c r="V1634" s="4">
        <v>-160.38470000000001</v>
      </c>
      <c r="W1634">
        <v>35</v>
      </c>
      <c r="X1634">
        <v>232.5</v>
      </c>
      <c r="Y1634" s="7">
        <v>4839</v>
      </c>
    </row>
    <row r="1635" spans="1:25" ht="12.75" customHeight="1">
      <c r="A1635">
        <v>3065</v>
      </c>
      <c r="B1635" t="s">
        <v>25</v>
      </c>
      <c r="C1635" s="4">
        <v>0.09</v>
      </c>
      <c r="D1635" s="8">
        <v>363.25</v>
      </c>
      <c r="E1635" s="4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 s="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 s="7">
        <v>28206</v>
      </c>
      <c r="T1635" s="3">
        <v>42160</v>
      </c>
      <c r="U1635" s="3">
        <v>42161</v>
      </c>
      <c r="V1635" s="4">
        <v>732.26980000000003</v>
      </c>
      <c r="W1635">
        <v>21</v>
      </c>
      <c r="X1635">
        <v>7497.05</v>
      </c>
      <c r="Y1635" s="7">
        <v>21958</v>
      </c>
    </row>
    <row r="1636" spans="1:25" ht="12.75" customHeight="1">
      <c r="A1636">
        <v>5689</v>
      </c>
      <c r="B1636" t="s">
        <v>106</v>
      </c>
      <c r="C1636" s="4">
        <v>0.05</v>
      </c>
      <c r="D1636" s="8">
        <v>63.94</v>
      </c>
      <c r="E1636" s="4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 s="5">
        <v>0.46</v>
      </c>
      <c r="O1636" t="s">
        <v>33</v>
      </c>
      <c r="P1636" t="s">
        <v>136</v>
      </c>
      <c r="Q1636" t="s">
        <v>322</v>
      </c>
      <c r="R1636" t="s">
        <v>390</v>
      </c>
      <c r="S1636" s="7">
        <v>28206</v>
      </c>
      <c r="T1636" s="3">
        <v>42185</v>
      </c>
      <c r="U1636" s="3">
        <v>42192</v>
      </c>
      <c r="V1636" s="4">
        <v>270.87430000000001</v>
      </c>
      <c r="W1636">
        <v>21</v>
      </c>
      <c r="X1636">
        <v>1336.35</v>
      </c>
      <c r="Y1636" s="7">
        <v>40224</v>
      </c>
    </row>
    <row r="1637" spans="1:25" ht="12.75" customHeight="1">
      <c r="A1637">
        <v>7137</v>
      </c>
      <c r="B1637" t="s">
        <v>106</v>
      </c>
      <c r="C1637" s="4">
        <v>0.02</v>
      </c>
      <c r="D1637" s="8">
        <v>43.98</v>
      </c>
      <c r="E1637" s="4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 s="5">
        <v>0.44</v>
      </c>
      <c r="O1637" t="s">
        <v>33</v>
      </c>
      <c r="P1637" t="s">
        <v>136</v>
      </c>
      <c r="Q1637" t="s">
        <v>322</v>
      </c>
      <c r="R1637" t="s">
        <v>390</v>
      </c>
      <c r="S1637" s="7">
        <v>28206</v>
      </c>
      <c r="T1637" s="3">
        <v>42025</v>
      </c>
      <c r="U1637" s="3">
        <v>42029</v>
      </c>
      <c r="V1637" s="4">
        <v>333.76049999999998</v>
      </c>
      <c r="W1637">
        <v>40</v>
      </c>
      <c r="X1637">
        <v>1724.01</v>
      </c>
      <c r="Y1637" s="7">
        <v>50917</v>
      </c>
    </row>
    <row r="1638" spans="1:25" ht="12.75" customHeight="1">
      <c r="A1638">
        <v>18694</v>
      </c>
      <c r="B1638" t="s">
        <v>47</v>
      </c>
      <c r="C1638" s="4">
        <v>0.05</v>
      </c>
      <c r="D1638" s="8">
        <v>6.48</v>
      </c>
      <c r="E1638" s="4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 s="5">
        <v>0.37</v>
      </c>
      <c r="O1638" t="s">
        <v>33</v>
      </c>
      <c r="P1638" t="s">
        <v>53</v>
      </c>
      <c r="Q1638" t="s">
        <v>154</v>
      </c>
      <c r="R1638" t="s">
        <v>2628</v>
      </c>
      <c r="S1638" s="7">
        <v>44070</v>
      </c>
      <c r="T1638" s="3">
        <v>42133</v>
      </c>
      <c r="U1638" s="3">
        <v>42133</v>
      </c>
      <c r="V1638" s="4">
        <v>-120.59</v>
      </c>
      <c r="W1638">
        <v>9</v>
      </c>
      <c r="X1638">
        <v>59.79</v>
      </c>
      <c r="Y1638" s="7">
        <v>87632</v>
      </c>
    </row>
    <row r="1639" spans="1:25" ht="12.75" customHeight="1">
      <c r="A1639">
        <v>20314</v>
      </c>
      <c r="B1639" t="s">
        <v>25</v>
      </c>
      <c r="C1639" s="4">
        <v>7.0000000000000007E-2</v>
      </c>
      <c r="D1639" s="8">
        <v>28.99</v>
      </c>
      <c r="E1639" s="4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 s="5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 s="7">
        <v>44039</v>
      </c>
      <c r="T1639" s="3">
        <v>42082</v>
      </c>
      <c r="U1639" s="3">
        <v>42082</v>
      </c>
      <c r="V1639" s="4">
        <v>-12.078000000000001</v>
      </c>
      <c r="W1639">
        <v>10</v>
      </c>
      <c r="X1639">
        <v>240.21</v>
      </c>
      <c r="Y1639" s="7">
        <v>87631</v>
      </c>
    </row>
    <row r="1640" spans="1:25" ht="12.75" customHeight="1">
      <c r="A1640">
        <v>21065</v>
      </c>
      <c r="B1640" t="s">
        <v>25</v>
      </c>
      <c r="C1640" s="4">
        <v>0.09</v>
      </c>
      <c r="D1640" s="8">
        <v>363.25</v>
      </c>
      <c r="E1640" s="4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 s="5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 s="7">
        <v>44039</v>
      </c>
      <c r="T1640" s="3">
        <v>42160</v>
      </c>
      <c r="U1640" s="3">
        <v>42161</v>
      </c>
      <c r="V1640" s="4">
        <v>1231.6569</v>
      </c>
      <c r="W1640">
        <v>5</v>
      </c>
      <c r="X1640">
        <v>1785.01</v>
      </c>
      <c r="Y1640" s="7">
        <v>87633</v>
      </c>
    </row>
    <row r="1641" spans="1:25" ht="12.75" customHeight="1">
      <c r="A1641">
        <v>23689</v>
      </c>
      <c r="B1641" t="s">
        <v>106</v>
      </c>
      <c r="C1641" s="4">
        <v>0.05</v>
      </c>
      <c r="D1641" s="8">
        <v>63.94</v>
      </c>
      <c r="E1641" s="4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 s="5">
        <v>0.46</v>
      </c>
      <c r="O1641" t="s">
        <v>33</v>
      </c>
      <c r="P1641" t="s">
        <v>53</v>
      </c>
      <c r="Q1641" t="s">
        <v>154</v>
      </c>
      <c r="R1641" t="s">
        <v>2640</v>
      </c>
      <c r="S1641" s="7">
        <v>44133</v>
      </c>
      <c r="T1641" s="3">
        <v>42185</v>
      </c>
      <c r="U1641" s="3">
        <v>42192</v>
      </c>
      <c r="V1641" s="4">
        <v>219.54419999999999</v>
      </c>
      <c r="W1641">
        <v>5</v>
      </c>
      <c r="X1641">
        <v>318.18</v>
      </c>
      <c r="Y1641" s="7">
        <v>87634</v>
      </c>
    </row>
    <row r="1642" spans="1:25" ht="12.75" customHeight="1">
      <c r="A1642">
        <v>25718</v>
      </c>
      <c r="B1642" t="s">
        <v>25</v>
      </c>
      <c r="C1642" s="4">
        <v>0.03</v>
      </c>
      <c r="D1642" s="8">
        <v>4.0599999999999996</v>
      </c>
      <c r="E1642" s="4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 s="5">
        <v>0.6</v>
      </c>
      <c r="O1642" t="s">
        <v>33</v>
      </c>
      <c r="P1642" t="s">
        <v>53</v>
      </c>
      <c r="Q1642" t="s">
        <v>154</v>
      </c>
      <c r="R1642" t="s">
        <v>2642</v>
      </c>
      <c r="S1642" s="7">
        <v>44134</v>
      </c>
      <c r="T1642" s="3">
        <v>42055</v>
      </c>
      <c r="U1642" s="3">
        <v>42057</v>
      </c>
      <c r="V1642" s="4">
        <v>-185.17</v>
      </c>
      <c r="W1642">
        <v>9</v>
      </c>
      <c r="X1642">
        <v>38.89</v>
      </c>
      <c r="Y1642" s="7">
        <v>87630</v>
      </c>
    </row>
    <row r="1643" spans="1:25" ht="12.75" customHeight="1">
      <c r="A1643">
        <v>25719</v>
      </c>
      <c r="B1643" t="s">
        <v>25</v>
      </c>
      <c r="C1643" s="4">
        <v>0.01</v>
      </c>
      <c r="D1643" s="8">
        <v>3.75</v>
      </c>
      <c r="E1643" s="4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 s="5">
        <v>0.37</v>
      </c>
      <c r="O1643" t="s">
        <v>33</v>
      </c>
      <c r="P1643" t="s">
        <v>53</v>
      </c>
      <c r="Q1643" t="s">
        <v>154</v>
      </c>
      <c r="R1643" t="s">
        <v>2642</v>
      </c>
      <c r="S1643" s="7">
        <v>44134</v>
      </c>
      <c r="T1643" s="3">
        <v>42055</v>
      </c>
      <c r="U1643" s="3">
        <v>42056</v>
      </c>
      <c r="V1643" s="4">
        <v>31.132799999999996</v>
      </c>
      <c r="W1643">
        <v>12</v>
      </c>
      <c r="X1643">
        <v>45.12</v>
      </c>
      <c r="Y1643" s="7">
        <v>87630</v>
      </c>
    </row>
    <row r="1644" spans="1:25" ht="12.75" customHeight="1">
      <c r="A1644">
        <v>25720</v>
      </c>
      <c r="B1644" t="s">
        <v>25</v>
      </c>
      <c r="C1644" s="4">
        <v>0.02</v>
      </c>
      <c r="D1644" s="8">
        <v>10.68</v>
      </c>
      <c r="E1644" s="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 s="5">
        <v>0.6</v>
      </c>
      <c r="O1644" t="s">
        <v>33</v>
      </c>
      <c r="P1644" t="s">
        <v>53</v>
      </c>
      <c r="Q1644" t="s">
        <v>154</v>
      </c>
      <c r="R1644" t="s">
        <v>2642</v>
      </c>
      <c r="S1644" s="7">
        <v>44134</v>
      </c>
      <c r="T1644" s="3">
        <v>42055</v>
      </c>
      <c r="U1644" s="3">
        <v>42057</v>
      </c>
      <c r="V1644" s="4">
        <v>-231.05</v>
      </c>
      <c r="W1644">
        <v>8</v>
      </c>
      <c r="X1644">
        <v>90.45</v>
      </c>
      <c r="Y1644" s="7">
        <v>87630</v>
      </c>
    </row>
    <row r="1645" spans="1:25" ht="12.75" customHeight="1">
      <c r="A1645">
        <v>21514</v>
      </c>
      <c r="B1645" t="s">
        <v>25</v>
      </c>
      <c r="C1645" s="4">
        <v>0.1</v>
      </c>
      <c r="D1645" s="8">
        <v>209.37</v>
      </c>
      <c r="E1645" s="4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 s="5">
        <v>0.79</v>
      </c>
      <c r="O1645" t="s">
        <v>33</v>
      </c>
      <c r="P1645" t="s">
        <v>61</v>
      </c>
      <c r="Q1645" t="s">
        <v>300</v>
      </c>
      <c r="R1645" t="s">
        <v>2644</v>
      </c>
      <c r="S1645" s="7">
        <v>48154</v>
      </c>
      <c r="T1645" s="3">
        <v>42058</v>
      </c>
      <c r="U1645" s="3">
        <v>42060</v>
      </c>
      <c r="V1645" s="4">
        <v>-165.59492040000003</v>
      </c>
      <c r="W1645">
        <v>11</v>
      </c>
      <c r="X1645">
        <v>2125.12</v>
      </c>
      <c r="Y1645" s="7">
        <v>90011</v>
      </c>
    </row>
    <row r="1646" spans="1:25" ht="12.75" customHeight="1">
      <c r="A1646">
        <v>21515</v>
      </c>
      <c r="B1646" t="s">
        <v>25</v>
      </c>
      <c r="C1646" s="4">
        <v>7.0000000000000007E-2</v>
      </c>
      <c r="D1646" s="8">
        <v>4.9800000000000004</v>
      </c>
      <c r="E1646" s="4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 s="5">
        <v>0.38</v>
      </c>
      <c r="O1646" t="s">
        <v>33</v>
      </c>
      <c r="P1646" t="s">
        <v>61</v>
      </c>
      <c r="Q1646" t="s">
        <v>300</v>
      </c>
      <c r="R1646" t="s">
        <v>2561</v>
      </c>
      <c r="S1646" s="7">
        <v>48071</v>
      </c>
      <c r="T1646" s="3">
        <v>42058</v>
      </c>
      <c r="U1646" s="3">
        <v>42059</v>
      </c>
      <c r="V1646" s="4">
        <v>-21.684000000000001</v>
      </c>
      <c r="W1646">
        <v>9</v>
      </c>
      <c r="X1646">
        <v>45.05</v>
      </c>
      <c r="Y1646" s="7">
        <v>90011</v>
      </c>
    </row>
    <row r="1647" spans="1:25" ht="12.75" customHeight="1">
      <c r="A1647">
        <v>19909</v>
      </c>
      <c r="B1647" t="s">
        <v>106</v>
      </c>
      <c r="C1647" s="4">
        <v>0.02</v>
      </c>
      <c r="D1647" s="8">
        <v>880.98</v>
      </c>
      <c r="E1647" s="4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 s="5">
        <v>0.62</v>
      </c>
      <c r="O1647" t="s">
        <v>33</v>
      </c>
      <c r="P1647" t="s">
        <v>61</v>
      </c>
      <c r="Q1647" t="s">
        <v>62</v>
      </c>
      <c r="R1647" t="s">
        <v>2647</v>
      </c>
      <c r="S1647" s="7">
        <v>56001</v>
      </c>
      <c r="T1647" s="3">
        <v>42026</v>
      </c>
      <c r="U1647" s="3">
        <v>42030</v>
      </c>
      <c r="V1647" s="4">
        <v>4861.0637999999999</v>
      </c>
      <c r="W1647">
        <v>8</v>
      </c>
      <c r="X1647">
        <v>7045.02</v>
      </c>
      <c r="Y1647" s="7">
        <v>86925</v>
      </c>
    </row>
    <row r="1648" spans="1:25" ht="12.75" customHeight="1">
      <c r="A1648">
        <v>18198</v>
      </c>
      <c r="B1648" t="s">
        <v>47</v>
      </c>
      <c r="C1648" s="4">
        <v>0</v>
      </c>
      <c r="D1648" s="8">
        <v>22.84</v>
      </c>
      <c r="E1648" s="4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 s="5">
        <v>0.39</v>
      </c>
      <c r="O1648" t="s">
        <v>33</v>
      </c>
      <c r="P1648" t="s">
        <v>61</v>
      </c>
      <c r="Q1648" t="s">
        <v>62</v>
      </c>
      <c r="R1648" t="s">
        <v>2647</v>
      </c>
      <c r="S1648" s="7">
        <v>56001</v>
      </c>
      <c r="T1648" s="3">
        <v>42075</v>
      </c>
      <c r="U1648" s="3">
        <v>42077</v>
      </c>
      <c r="V1648" s="4">
        <v>-83.75</v>
      </c>
      <c r="W1648">
        <v>15</v>
      </c>
      <c r="X1648">
        <v>370.62</v>
      </c>
      <c r="Y1648" s="7">
        <v>86927</v>
      </c>
    </row>
    <row r="1649" spans="1:25" ht="12.75" customHeight="1">
      <c r="A1649">
        <v>20304</v>
      </c>
      <c r="B1649" t="s">
        <v>25</v>
      </c>
      <c r="C1649" s="4">
        <v>0.05</v>
      </c>
      <c r="D1649" s="8">
        <v>80.97</v>
      </c>
      <c r="E1649" s="4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 s="5">
        <v>0.4</v>
      </c>
      <c r="O1649" t="s">
        <v>33</v>
      </c>
      <c r="P1649" t="s">
        <v>61</v>
      </c>
      <c r="Q1649" t="s">
        <v>62</v>
      </c>
      <c r="R1649" t="s">
        <v>2650</v>
      </c>
      <c r="S1649" s="7">
        <v>55369</v>
      </c>
      <c r="T1649" s="3">
        <v>42048</v>
      </c>
      <c r="U1649" s="3">
        <v>42049</v>
      </c>
      <c r="V1649" s="4">
        <v>565.17999999999995</v>
      </c>
      <c r="W1649">
        <v>11</v>
      </c>
      <c r="X1649">
        <v>904.25</v>
      </c>
      <c r="Y1649" s="7">
        <v>86926</v>
      </c>
    </row>
    <row r="1650" spans="1:25" ht="12.75" customHeight="1">
      <c r="A1650">
        <v>20305</v>
      </c>
      <c r="B1650" t="s">
        <v>25</v>
      </c>
      <c r="C1650" s="4">
        <v>0</v>
      </c>
      <c r="D1650" s="8">
        <v>6.48</v>
      </c>
      <c r="E1650" s="4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 s="5">
        <v>0.37</v>
      </c>
      <c r="O1650" t="s">
        <v>33</v>
      </c>
      <c r="P1650" t="s">
        <v>61</v>
      </c>
      <c r="Q1650" t="s">
        <v>62</v>
      </c>
      <c r="R1650" t="s">
        <v>2650</v>
      </c>
      <c r="S1650" s="7">
        <v>55369</v>
      </c>
      <c r="T1650" s="3">
        <v>42048</v>
      </c>
      <c r="U1650" s="3">
        <v>42050</v>
      </c>
      <c r="V1650" s="4">
        <v>-38.72</v>
      </c>
      <c r="W1650">
        <v>2</v>
      </c>
      <c r="X1650">
        <v>16.309999999999999</v>
      </c>
      <c r="Y1650" s="7">
        <v>86926</v>
      </c>
    </row>
    <row r="1651" spans="1:25" ht="12.75" customHeight="1">
      <c r="A1651">
        <v>23151</v>
      </c>
      <c r="B1651" t="s">
        <v>37</v>
      </c>
      <c r="C1651" s="4">
        <v>0.06</v>
      </c>
      <c r="D1651" s="8">
        <v>70.89</v>
      </c>
      <c r="E1651" s="4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 s="5">
        <v>0.72</v>
      </c>
      <c r="O1651" t="s">
        <v>33</v>
      </c>
      <c r="P1651" t="s">
        <v>53</v>
      </c>
      <c r="Q1651" t="s">
        <v>154</v>
      </c>
      <c r="R1651" t="s">
        <v>2654</v>
      </c>
      <c r="S1651" s="7">
        <v>43068</v>
      </c>
      <c r="T1651" s="3">
        <v>42180</v>
      </c>
      <c r="U1651" s="3">
        <v>42180</v>
      </c>
      <c r="V1651" s="4">
        <v>65.077020000000005</v>
      </c>
      <c r="W1651">
        <v>6</v>
      </c>
      <c r="X1651">
        <v>364.26</v>
      </c>
      <c r="Y1651" s="7">
        <v>87374</v>
      </c>
    </row>
    <row r="1652" spans="1:25" ht="12.75" customHeight="1">
      <c r="A1652">
        <v>18611</v>
      </c>
      <c r="B1652" t="s">
        <v>25</v>
      </c>
      <c r="C1652" s="4">
        <v>7.0000000000000007E-2</v>
      </c>
      <c r="D1652" s="8">
        <v>4.13</v>
      </c>
      <c r="E1652" s="4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 s="5">
        <v>0.39</v>
      </c>
      <c r="O1652" t="s">
        <v>33</v>
      </c>
      <c r="P1652" t="s">
        <v>53</v>
      </c>
      <c r="Q1652" t="s">
        <v>154</v>
      </c>
      <c r="R1652" t="s">
        <v>2656</v>
      </c>
      <c r="S1652" s="7">
        <v>44125</v>
      </c>
      <c r="T1652" s="3">
        <v>42012</v>
      </c>
      <c r="U1652" s="3">
        <v>42012</v>
      </c>
      <c r="V1652" s="4">
        <v>10.959199999999999</v>
      </c>
      <c r="W1652">
        <v>4</v>
      </c>
      <c r="X1652">
        <v>16.07</v>
      </c>
      <c r="Y1652" s="7">
        <v>88156</v>
      </c>
    </row>
    <row r="1653" spans="1:25" ht="12.75" customHeight="1">
      <c r="A1653">
        <v>18612</v>
      </c>
      <c r="B1653" t="s">
        <v>25</v>
      </c>
      <c r="C1653" s="4">
        <v>0.03</v>
      </c>
      <c r="D1653" s="8">
        <v>22.72</v>
      </c>
      <c r="E1653" s="4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 s="5">
        <v>0.44</v>
      </c>
      <c r="O1653" t="s">
        <v>33</v>
      </c>
      <c r="P1653" t="s">
        <v>53</v>
      </c>
      <c r="Q1653" t="s">
        <v>154</v>
      </c>
      <c r="R1653" t="s">
        <v>2656</v>
      </c>
      <c r="S1653" s="7">
        <v>44125</v>
      </c>
      <c r="T1653" s="3">
        <v>42012</v>
      </c>
      <c r="U1653" s="3">
        <v>42012</v>
      </c>
      <c r="V1653" s="4">
        <v>17.429400000000001</v>
      </c>
      <c r="W1653">
        <v>1</v>
      </c>
      <c r="X1653">
        <v>25.26</v>
      </c>
      <c r="Y1653" s="7">
        <v>88156</v>
      </c>
    </row>
    <row r="1654" spans="1:25" ht="12.75" customHeight="1">
      <c r="A1654">
        <v>20827</v>
      </c>
      <c r="B1654" t="s">
        <v>37</v>
      </c>
      <c r="C1654" s="4">
        <v>0.05</v>
      </c>
      <c r="D1654" s="8">
        <v>34.979999999999997</v>
      </c>
      <c r="E1654" s="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 s="5">
        <v>0.76</v>
      </c>
      <c r="O1654" t="s">
        <v>33</v>
      </c>
      <c r="P1654" t="s">
        <v>53</v>
      </c>
      <c r="Q1654" t="s">
        <v>154</v>
      </c>
      <c r="R1654" t="s">
        <v>2656</v>
      </c>
      <c r="S1654" s="7">
        <v>44125</v>
      </c>
      <c r="T1654" s="3">
        <v>42063</v>
      </c>
      <c r="U1654" s="3">
        <v>42066</v>
      </c>
      <c r="V1654" s="4">
        <v>-32.666400000000003</v>
      </c>
      <c r="W1654">
        <v>16</v>
      </c>
      <c r="X1654">
        <v>581.08000000000004</v>
      </c>
      <c r="Y1654" s="7">
        <v>88157</v>
      </c>
    </row>
    <row r="1655" spans="1:25" ht="12.75" customHeight="1">
      <c r="A1655">
        <v>20828</v>
      </c>
      <c r="B1655" t="s">
        <v>37</v>
      </c>
      <c r="C1655" s="4">
        <v>0</v>
      </c>
      <c r="D1655" s="8">
        <v>3.14</v>
      </c>
      <c r="E1655" s="4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 s="5">
        <v>0.84</v>
      </c>
      <c r="O1655" t="s">
        <v>33</v>
      </c>
      <c r="P1655" t="s">
        <v>53</v>
      </c>
      <c r="Q1655" t="s">
        <v>154</v>
      </c>
      <c r="R1655" t="s">
        <v>2656</v>
      </c>
      <c r="S1655" s="7">
        <v>44125</v>
      </c>
      <c r="T1655" s="3">
        <v>42063</v>
      </c>
      <c r="U1655" s="3">
        <v>42065</v>
      </c>
      <c r="V1655" s="4">
        <v>-13.135200000000001</v>
      </c>
      <c r="W1655">
        <v>8</v>
      </c>
      <c r="X1655">
        <v>27.53</v>
      </c>
      <c r="Y1655" s="7">
        <v>88157</v>
      </c>
    </row>
    <row r="1656" spans="1:25" ht="12.75" customHeight="1">
      <c r="A1656">
        <v>21290</v>
      </c>
      <c r="B1656" t="s">
        <v>25</v>
      </c>
      <c r="C1656" s="4">
        <v>0.04</v>
      </c>
      <c r="D1656" s="8">
        <v>4.13</v>
      </c>
      <c r="E1656" s="4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 s="5">
        <v>0.39</v>
      </c>
      <c r="O1656" t="s">
        <v>33</v>
      </c>
      <c r="P1656" t="s">
        <v>61</v>
      </c>
      <c r="Q1656" t="s">
        <v>2659</v>
      </c>
      <c r="R1656" t="s">
        <v>2660</v>
      </c>
      <c r="S1656" s="7">
        <v>58201</v>
      </c>
      <c r="T1656" s="3">
        <v>42122</v>
      </c>
      <c r="U1656" s="3">
        <v>42124</v>
      </c>
      <c r="V1656" s="4">
        <v>22.307699999999997</v>
      </c>
      <c r="W1656">
        <v>7</v>
      </c>
      <c r="X1656">
        <v>32.33</v>
      </c>
      <c r="Y1656" s="7">
        <v>87396</v>
      </c>
    </row>
    <row r="1657" spans="1:25" ht="12.75" customHeight="1">
      <c r="A1657">
        <v>21291</v>
      </c>
      <c r="B1657" t="s">
        <v>25</v>
      </c>
      <c r="C1657" s="4">
        <v>0.06</v>
      </c>
      <c r="D1657" s="8">
        <v>55.48</v>
      </c>
      <c r="E1657" s="4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 s="5">
        <v>0.37</v>
      </c>
      <c r="O1657" t="s">
        <v>33</v>
      </c>
      <c r="P1657" t="s">
        <v>61</v>
      </c>
      <c r="Q1657" t="s">
        <v>2659</v>
      </c>
      <c r="R1657" t="s">
        <v>2660</v>
      </c>
      <c r="S1657" s="7">
        <v>58201</v>
      </c>
      <c r="T1657" s="3">
        <v>42122</v>
      </c>
      <c r="U1657" s="3">
        <v>42124</v>
      </c>
      <c r="V1657" s="4">
        <v>443.02139999999991</v>
      </c>
      <c r="W1657">
        <v>12</v>
      </c>
      <c r="X1657">
        <v>642.05999999999995</v>
      </c>
      <c r="Y1657" s="7">
        <v>87396</v>
      </c>
    </row>
    <row r="1658" spans="1:25" ht="12.75" customHeight="1">
      <c r="A1658">
        <v>8310</v>
      </c>
      <c r="B1658" t="s">
        <v>56</v>
      </c>
      <c r="C1658" s="4">
        <v>0.05</v>
      </c>
      <c r="D1658" s="8">
        <v>535.64</v>
      </c>
      <c r="E1658" s="4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 s="5">
        <v>0.59</v>
      </c>
      <c r="O1658" t="s">
        <v>33</v>
      </c>
      <c r="P1658" t="s">
        <v>61</v>
      </c>
      <c r="Q1658" t="s">
        <v>178</v>
      </c>
      <c r="R1658" t="s">
        <v>179</v>
      </c>
      <c r="S1658" s="7">
        <v>60603</v>
      </c>
      <c r="T1658" s="3">
        <v>42162</v>
      </c>
      <c r="U1658" s="3">
        <v>42164</v>
      </c>
      <c r="V1658" s="4">
        <v>-1220.9144999999999</v>
      </c>
      <c r="W1658">
        <v>2</v>
      </c>
      <c r="X1658">
        <v>1068.5999999999999</v>
      </c>
      <c r="Y1658" s="7">
        <v>59365</v>
      </c>
    </row>
    <row r="1659" spans="1:25" ht="12.75" customHeight="1">
      <c r="A1659">
        <v>18166</v>
      </c>
      <c r="B1659" t="s">
        <v>56</v>
      </c>
      <c r="C1659" s="4">
        <v>0</v>
      </c>
      <c r="D1659" s="8">
        <v>6.37</v>
      </c>
      <c r="E1659" s="4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 s="5">
        <v>0.38</v>
      </c>
      <c r="O1659" t="s">
        <v>33</v>
      </c>
      <c r="P1659" t="s">
        <v>53</v>
      </c>
      <c r="Q1659" t="s">
        <v>415</v>
      </c>
      <c r="R1659" t="s">
        <v>2663</v>
      </c>
      <c r="S1659" s="7">
        <v>21740</v>
      </c>
      <c r="T1659" s="3">
        <v>42063</v>
      </c>
      <c r="U1659" s="3">
        <v>42065</v>
      </c>
      <c r="V1659" s="4">
        <v>-27.1492</v>
      </c>
      <c r="W1659">
        <v>15</v>
      </c>
      <c r="X1659">
        <v>99.75</v>
      </c>
      <c r="Y1659" s="7">
        <v>86592</v>
      </c>
    </row>
    <row r="1660" spans="1:25" ht="12.75" customHeight="1">
      <c r="A1660">
        <v>18345</v>
      </c>
      <c r="B1660" t="s">
        <v>47</v>
      </c>
      <c r="C1660" s="4">
        <v>0.02</v>
      </c>
      <c r="D1660" s="8">
        <v>110.98</v>
      </c>
      <c r="E1660" s="4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 s="5">
        <v>0.69</v>
      </c>
      <c r="O1660" t="s">
        <v>33</v>
      </c>
      <c r="P1660" t="s">
        <v>53</v>
      </c>
      <c r="Q1660" t="s">
        <v>415</v>
      </c>
      <c r="R1660" t="s">
        <v>2665</v>
      </c>
      <c r="S1660" s="7">
        <v>20707</v>
      </c>
      <c r="T1660" s="3">
        <v>42020</v>
      </c>
      <c r="U1660" s="3">
        <v>42022</v>
      </c>
      <c r="V1660" s="4">
        <v>-106.3424</v>
      </c>
      <c r="W1660">
        <v>2</v>
      </c>
      <c r="X1660">
        <v>226.53</v>
      </c>
      <c r="Y1660" s="7">
        <v>86591</v>
      </c>
    </row>
    <row r="1661" spans="1:25" ht="12.75" customHeight="1">
      <c r="A1661">
        <v>18346</v>
      </c>
      <c r="B1661" t="s">
        <v>47</v>
      </c>
      <c r="C1661" s="4">
        <v>0.01</v>
      </c>
      <c r="D1661" s="8">
        <v>8.01</v>
      </c>
      <c r="E1661" s="4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 s="5">
        <v>0.4</v>
      </c>
      <c r="O1661" t="s">
        <v>33</v>
      </c>
      <c r="P1661" t="s">
        <v>53</v>
      </c>
      <c r="Q1661" t="s">
        <v>415</v>
      </c>
      <c r="R1661" t="s">
        <v>2665</v>
      </c>
      <c r="S1661" s="7">
        <v>20707</v>
      </c>
      <c r="T1661" s="3">
        <v>42020</v>
      </c>
      <c r="U1661" s="3">
        <v>42022</v>
      </c>
      <c r="V1661" s="4">
        <v>44.976799999999997</v>
      </c>
      <c r="W1661">
        <v>8</v>
      </c>
      <c r="X1661">
        <v>68.650000000000006</v>
      </c>
      <c r="Y1661" s="7">
        <v>86591</v>
      </c>
    </row>
    <row r="1662" spans="1:25" ht="12.75" customHeight="1">
      <c r="A1662">
        <v>25817</v>
      </c>
      <c r="B1662" t="s">
        <v>47</v>
      </c>
      <c r="C1662" s="4">
        <v>0.02</v>
      </c>
      <c r="D1662" s="8">
        <v>5.58</v>
      </c>
      <c r="E1662" s="4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 s="5">
        <v>0.37</v>
      </c>
      <c r="O1662" t="s">
        <v>33</v>
      </c>
      <c r="P1662" t="s">
        <v>136</v>
      </c>
      <c r="Q1662" t="s">
        <v>932</v>
      </c>
      <c r="R1662" t="s">
        <v>2669</v>
      </c>
      <c r="S1662" s="7">
        <v>29418</v>
      </c>
      <c r="T1662" s="3">
        <v>42150</v>
      </c>
      <c r="U1662" s="3">
        <v>42152</v>
      </c>
      <c r="V1662" s="4">
        <v>689.32799999999997</v>
      </c>
      <c r="W1662">
        <v>42</v>
      </c>
      <c r="X1662">
        <v>236.83</v>
      </c>
      <c r="Y1662" s="7">
        <v>90218</v>
      </c>
    </row>
    <row r="1663" spans="1:25" ht="12.75" customHeight="1">
      <c r="A1663">
        <v>25819</v>
      </c>
      <c r="B1663" t="s">
        <v>47</v>
      </c>
      <c r="C1663" s="4">
        <v>0.02</v>
      </c>
      <c r="D1663" s="8">
        <v>54.1</v>
      </c>
      <c r="E1663" s="4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 s="5">
        <v>0.59</v>
      </c>
      <c r="O1663" t="s">
        <v>33</v>
      </c>
      <c r="P1663" t="s">
        <v>136</v>
      </c>
      <c r="Q1663" t="s">
        <v>932</v>
      </c>
      <c r="R1663" t="s">
        <v>2669</v>
      </c>
      <c r="S1663" s="7">
        <v>29418</v>
      </c>
      <c r="T1663" s="3">
        <v>42150</v>
      </c>
      <c r="U1663" s="3">
        <v>42151</v>
      </c>
      <c r="V1663" s="4">
        <v>-33.585999999999999</v>
      </c>
      <c r="W1663">
        <v>36</v>
      </c>
      <c r="X1663">
        <v>1944.87</v>
      </c>
      <c r="Y1663" s="7">
        <v>90218</v>
      </c>
    </row>
    <row r="1664" spans="1:25" ht="12.75" customHeight="1">
      <c r="A1664">
        <v>21313</v>
      </c>
      <c r="B1664" t="s">
        <v>37</v>
      </c>
      <c r="C1664" s="4">
        <v>0.1</v>
      </c>
      <c r="D1664" s="8">
        <v>11.55</v>
      </c>
      <c r="E1664" s="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 s="5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 s="7">
        <v>95630</v>
      </c>
      <c r="T1664" s="3">
        <v>42063</v>
      </c>
      <c r="U1664" s="3">
        <v>42063</v>
      </c>
      <c r="V1664" s="4">
        <v>69.767200000000003</v>
      </c>
      <c r="W1664">
        <v>12</v>
      </c>
      <c r="X1664">
        <v>135.77000000000001</v>
      </c>
      <c r="Y1664" s="7">
        <v>87619</v>
      </c>
    </row>
    <row r="1665" spans="1:25" ht="12.75" customHeight="1">
      <c r="A1665">
        <v>24866</v>
      </c>
      <c r="B1665" t="s">
        <v>25</v>
      </c>
      <c r="C1665" s="4">
        <v>0.01</v>
      </c>
      <c r="D1665" s="8">
        <v>35.44</v>
      </c>
      <c r="E1665" s="4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 s="5">
        <v>0.38</v>
      </c>
      <c r="O1665" t="s">
        <v>33</v>
      </c>
      <c r="P1665" t="s">
        <v>53</v>
      </c>
      <c r="Q1665" t="s">
        <v>228</v>
      </c>
      <c r="R1665" t="s">
        <v>857</v>
      </c>
      <c r="S1665" s="7">
        <v>6614</v>
      </c>
      <c r="T1665" s="3">
        <v>42116</v>
      </c>
      <c r="U1665" s="3">
        <v>42117</v>
      </c>
      <c r="V1665" s="4">
        <v>-52.822799999999994</v>
      </c>
      <c r="W1665">
        <v>1</v>
      </c>
      <c r="X1665">
        <v>55.43</v>
      </c>
      <c r="Y1665" s="7">
        <v>87620</v>
      </c>
    </row>
    <row r="1666" spans="1:25" ht="12.75" customHeight="1">
      <c r="A1666">
        <v>24995</v>
      </c>
      <c r="B1666" t="s">
        <v>106</v>
      </c>
      <c r="C1666" s="4">
        <v>0.02</v>
      </c>
      <c r="D1666" s="8">
        <v>3.8</v>
      </c>
      <c r="E1666" s="4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 s="5">
        <v>0.38</v>
      </c>
      <c r="O1666" t="s">
        <v>33</v>
      </c>
      <c r="P1666" t="s">
        <v>53</v>
      </c>
      <c r="Q1666" t="s">
        <v>193</v>
      </c>
      <c r="R1666" t="s">
        <v>194</v>
      </c>
      <c r="S1666" s="7">
        <v>2215</v>
      </c>
      <c r="T1666" s="3">
        <v>42135</v>
      </c>
      <c r="U1666" s="3">
        <v>42139</v>
      </c>
      <c r="V1666" s="4">
        <v>7.31</v>
      </c>
      <c r="W1666">
        <v>5</v>
      </c>
      <c r="X1666">
        <v>20.46</v>
      </c>
      <c r="Y1666" s="7">
        <v>87617</v>
      </c>
    </row>
    <row r="1667" spans="1:25" ht="12.75" customHeight="1">
      <c r="A1667">
        <v>24865</v>
      </c>
      <c r="B1667" t="s">
        <v>25</v>
      </c>
      <c r="C1667" s="4">
        <v>0.03</v>
      </c>
      <c r="D1667" s="8">
        <v>47.9</v>
      </c>
      <c r="E1667" s="4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 s="5">
        <v>0.37</v>
      </c>
      <c r="O1667" t="s">
        <v>33</v>
      </c>
      <c r="P1667" t="s">
        <v>53</v>
      </c>
      <c r="Q1667" t="s">
        <v>193</v>
      </c>
      <c r="R1667" t="s">
        <v>2675</v>
      </c>
      <c r="S1667" s="7">
        <v>2180</v>
      </c>
      <c r="T1667" s="3">
        <v>42116</v>
      </c>
      <c r="U1667" s="3">
        <v>42119</v>
      </c>
      <c r="V1667" s="4">
        <v>642.99029999999993</v>
      </c>
      <c r="W1667">
        <v>20</v>
      </c>
      <c r="X1667">
        <v>931.87</v>
      </c>
      <c r="Y1667" s="7">
        <v>87620</v>
      </c>
    </row>
    <row r="1668" spans="1:25" ht="12.75" customHeight="1">
      <c r="A1668">
        <v>23567</v>
      </c>
      <c r="B1668" t="s">
        <v>47</v>
      </c>
      <c r="C1668" s="4">
        <v>0.05</v>
      </c>
      <c r="D1668" s="8">
        <v>2.62</v>
      </c>
      <c r="E1668" s="4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 s="5">
        <v>0.39</v>
      </c>
      <c r="O1668" t="s">
        <v>33</v>
      </c>
      <c r="P1668" t="s">
        <v>53</v>
      </c>
      <c r="Q1668" t="s">
        <v>54</v>
      </c>
      <c r="R1668" t="s">
        <v>484</v>
      </c>
      <c r="S1668" s="7">
        <v>7960</v>
      </c>
      <c r="T1668" s="3">
        <v>42150</v>
      </c>
      <c r="U1668" s="3">
        <v>42151</v>
      </c>
      <c r="V1668" s="4">
        <v>12.71</v>
      </c>
      <c r="W1668">
        <v>8</v>
      </c>
      <c r="X1668">
        <v>21.41</v>
      </c>
      <c r="Y1668" s="7">
        <v>87618</v>
      </c>
    </row>
    <row r="1669" spans="1:25" ht="12.75" customHeight="1">
      <c r="A1669">
        <v>19575</v>
      </c>
      <c r="B1669" t="s">
        <v>106</v>
      </c>
      <c r="C1669" s="4">
        <v>0.04</v>
      </c>
      <c r="D1669" s="8">
        <v>4.55</v>
      </c>
      <c r="E1669" s="4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 s="5">
        <v>0.35</v>
      </c>
      <c r="O1669" t="s">
        <v>33</v>
      </c>
      <c r="P1669" t="s">
        <v>61</v>
      </c>
      <c r="Q1669" t="s">
        <v>300</v>
      </c>
      <c r="R1669" t="s">
        <v>1929</v>
      </c>
      <c r="S1669" s="7">
        <v>48640</v>
      </c>
      <c r="T1669" s="3">
        <v>42068</v>
      </c>
      <c r="U1669" s="3">
        <v>42070</v>
      </c>
      <c r="V1669" s="4">
        <v>28.288</v>
      </c>
      <c r="W1669">
        <v>13</v>
      </c>
      <c r="X1669">
        <v>59.75</v>
      </c>
      <c r="Y1669" s="7">
        <v>90309</v>
      </c>
    </row>
    <row r="1670" spans="1:25" ht="12.75" customHeight="1">
      <c r="A1670">
        <v>26054</v>
      </c>
      <c r="B1670" t="s">
        <v>37</v>
      </c>
      <c r="C1670" s="4">
        <v>0.01</v>
      </c>
      <c r="D1670" s="8">
        <v>7.64</v>
      </c>
      <c r="E1670" s="4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 s="5">
        <v>0.36</v>
      </c>
      <c r="O1670" t="s">
        <v>33</v>
      </c>
      <c r="P1670" t="s">
        <v>53</v>
      </c>
      <c r="Q1670" t="s">
        <v>71</v>
      </c>
      <c r="R1670" t="s">
        <v>2679</v>
      </c>
      <c r="S1670" s="7">
        <v>14043</v>
      </c>
      <c r="T1670" s="3">
        <v>42039</v>
      </c>
      <c r="U1670" s="3">
        <v>42042</v>
      </c>
      <c r="V1670" s="4">
        <v>112.1181</v>
      </c>
      <c r="W1670">
        <v>20</v>
      </c>
      <c r="X1670">
        <v>162.49</v>
      </c>
      <c r="Y1670" s="7">
        <v>87511</v>
      </c>
    </row>
    <row r="1671" spans="1:25" ht="12.75" customHeight="1">
      <c r="A1671">
        <v>25051</v>
      </c>
      <c r="B1671" t="s">
        <v>56</v>
      </c>
      <c r="C1671" s="4">
        <v>7.0000000000000007E-2</v>
      </c>
      <c r="D1671" s="8">
        <v>42.98</v>
      </c>
      <c r="E1671" s="4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 s="5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 s="7">
        <v>67601</v>
      </c>
      <c r="T1671" s="3">
        <v>42050</v>
      </c>
      <c r="U1671" s="3">
        <v>42052</v>
      </c>
      <c r="V1671" s="4">
        <v>565.38599999999997</v>
      </c>
      <c r="W1671">
        <v>19</v>
      </c>
      <c r="X1671">
        <v>819.4</v>
      </c>
      <c r="Y1671" s="7">
        <v>91397</v>
      </c>
    </row>
    <row r="1672" spans="1:25" ht="12.75" customHeight="1">
      <c r="A1672">
        <v>25052</v>
      </c>
      <c r="B1672" t="s">
        <v>56</v>
      </c>
      <c r="C1672" s="4">
        <v>0.03</v>
      </c>
      <c r="D1672" s="8">
        <v>89.99</v>
      </c>
      <c r="E1672" s="4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 s="5">
        <v>0.66</v>
      </c>
      <c r="O1672" t="s">
        <v>33</v>
      </c>
      <c r="P1672" t="s">
        <v>61</v>
      </c>
      <c r="Q1672" t="s">
        <v>183</v>
      </c>
      <c r="R1672" t="s">
        <v>2612</v>
      </c>
      <c r="S1672" s="7">
        <v>67601</v>
      </c>
      <c r="T1672" s="3">
        <v>42050</v>
      </c>
      <c r="U1672" s="3">
        <v>42053</v>
      </c>
      <c r="V1672" s="4">
        <v>-230.9528</v>
      </c>
      <c r="W1672">
        <v>19</v>
      </c>
      <c r="X1672">
        <v>1809.75</v>
      </c>
      <c r="Y1672" s="7">
        <v>91397</v>
      </c>
    </row>
    <row r="1673" spans="1:25" ht="12.75" customHeight="1">
      <c r="A1673">
        <v>25970</v>
      </c>
      <c r="B1673" t="s">
        <v>56</v>
      </c>
      <c r="C1673" s="4">
        <v>0.08</v>
      </c>
      <c r="D1673" s="8">
        <v>5.74</v>
      </c>
      <c r="E1673" s="4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 s="5">
        <v>0.39</v>
      </c>
      <c r="O1673" t="s">
        <v>33</v>
      </c>
      <c r="P1673" t="s">
        <v>53</v>
      </c>
      <c r="Q1673" t="s">
        <v>154</v>
      </c>
      <c r="R1673" t="s">
        <v>2682</v>
      </c>
      <c r="S1673" s="7">
        <v>43123</v>
      </c>
      <c r="T1673" s="3">
        <v>42109</v>
      </c>
      <c r="U1673" s="3">
        <v>42111</v>
      </c>
      <c r="V1673" s="4">
        <v>-61.628039999999999</v>
      </c>
      <c r="W1673">
        <v>12</v>
      </c>
      <c r="X1673">
        <v>70.03</v>
      </c>
      <c r="Y1673" s="7">
        <v>91398</v>
      </c>
    </row>
    <row r="1674" spans="1:25" ht="12.75" customHeight="1">
      <c r="A1674">
        <v>21200</v>
      </c>
      <c r="B1674" t="s">
        <v>106</v>
      </c>
      <c r="C1674" s="4">
        <v>0.09</v>
      </c>
      <c r="D1674" s="8">
        <v>12.22</v>
      </c>
      <c r="E1674" s="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 s="5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 s="7">
        <v>55119</v>
      </c>
      <c r="T1674" s="3">
        <v>42173</v>
      </c>
      <c r="U1674" s="3">
        <v>42180</v>
      </c>
      <c r="V1674" s="4">
        <v>70.676699999999997</v>
      </c>
      <c r="W1674">
        <v>9</v>
      </c>
      <c r="X1674">
        <v>102.43</v>
      </c>
      <c r="Y1674" s="7">
        <v>86427</v>
      </c>
    </row>
    <row r="1675" spans="1:25" ht="12.75" customHeight="1">
      <c r="A1675">
        <v>24817</v>
      </c>
      <c r="B1675" t="s">
        <v>56</v>
      </c>
      <c r="C1675" s="4">
        <v>0.1</v>
      </c>
      <c r="D1675" s="8">
        <v>37.94</v>
      </c>
      <c r="E1675" s="4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 s="5">
        <v>0.38</v>
      </c>
      <c r="O1675" t="s">
        <v>33</v>
      </c>
      <c r="P1675" t="s">
        <v>61</v>
      </c>
      <c r="Q1675" t="s">
        <v>1858</v>
      </c>
      <c r="R1675" t="s">
        <v>2686</v>
      </c>
      <c r="S1675" s="7">
        <v>53209</v>
      </c>
      <c r="T1675" s="3">
        <v>42096</v>
      </c>
      <c r="U1675" s="3">
        <v>42098</v>
      </c>
      <c r="V1675" s="4">
        <v>95.054399999999987</v>
      </c>
      <c r="W1675">
        <v>4</v>
      </c>
      <c r="X1675">
        <v>137.76</v>
      </c>
      <c r="Y1675" s="7">
        <v>90264</v>
      </c>
    </row>
    <row r="1676" spans="1:25" ht="12.75" customHeight="1">
      <c r="A1676">
        <v>25709</v>
      </c>
      <c r="B1676" t="s">
        <v>106</v>
      </c>
      <c r="C1676" s="4">
        <v>0.06</v>
      </c>
      <c r="D1676" s="8">
        <v>20.99</v>
      </c>
      <c r="E1676" s="4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 s="5">
        <v>0.37</v>
      </c>
      <c r="O1676" t="s">
        <v>33</v>
      </c>
      <c r="P1676" t="s">
        <v>61</v>
      </c>
      <c r="Q1676" t="s">
        <v>1858</v>
      </c>
      <c r="R1676" t="s">
        <v>2689</v>
      </c>
      <c r="S1676" s="7">
        <v>54956</v>
      </c>
      <c r="T1676" s="3">
        <v>42086</v>
      </c>
      <c r="U1676" s="3">
        <v>42091</v>
      </c>
      <c r="V1676" s="4">
        <v>224.96069999999997</v>
      </c>
      <c r="W1676">
        <v>18</v>
      </c>
      <c r="X1676">
        <v>326.02999999999997</v>
      </c>
      <c r="Y1676" s="7">
        <v>90265</v>
      </c>
    </row>
    <row r="1677" spans="1:25" ht="12.75" customHeight="1">
      <c r="A1677">
        <v>19923</v>
      </c>
      <c r="B1677" t="s">
        <v>37</v>
      </c>
      <c r="C1677" s="4">
        <v>0.1</v>
      </c>
      <c r="D1677" s="8">
        <v>36.549999999999997</v>
      </c>
      <c r="E1677" s="4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 s="5">
        <v>0.41</v>
      </c>
      <c r="O1677" t="s">
        <v>33</v>
      </c>
      <c r="P1677" t="s">
        <v>136</v>
      </c>
      <c r="Q1677" t="s">
        <v>958</v>
      </c>
      <c r="R1677" t="s">
        <v>2691</v>
      </c>
      <c r="S1677" s="7">
        <v>72956</v>
      </c>
      <c r="T1677" s="3">
        <v>42099</v>
      </c>
      <c r="U1677" s="3">
        <v>42101</v>
      </c>
      <c r="V1677" s="4">
        <v>-89.572000000000003</v>
      </c>
      <c r="W1677">
        <v>11</v>
      </c>
      <c r="X1677">
        <v>379.72</v>
      </c>
      <c r="Y1677" s="7">
        <v>90646</v>
      </c>
    </row>
    <row r="1678" spans="1:25" ht="12.75" customHeight="1">
      <c r="A1678">
        <v>20390</v>
      </c>
      <c r="B1678" t="s">
        <v>25</v>
      </c>
      <c r="C1678" s="4">
        <v>7.0000000000000007E-2</v>
      </c>
      <c r="D1678" s="8">
        <v>4.76</v>
      </c>
      <c r="E1678" s="4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 s="5">
        <v>0.39</v>
      </c>
      <c r="O1678" t="s">
        <v>33</v>
      </c>
      <c r="P1678" t="s">
        <v>34</v>
      </c>
      <c r="Q1678" t="s">
        <v>255</v>
      </c>
      <c r="R1678" t="s">
        <v>337</v>
      </c>
      <c r="S1678" s="7">
        <v>80027</v>
      </c>
      <c r="T1678" s="3">
        <v>42131</v>
      </c>
      <c r="U1678" s="3">
        <v>42133</v>
      </c>
      <c r="V1678" s="4">
        <v>33.347699999999996</v>
      </c>
      <c r="W1678">
        <v>10</v>
      </c>
      <c r="X1678">
        <v>48.33</v>
      </c>
      <c r="Y1678" s="7">
        <v>88611</v>
      </c>
    </row>
    <row r="1679" spans="1:25" ht="12.75" customHeight="1">
      <c r="A1679">
        <v>22175</v>
      </c>
      <c r="B1679" t="s">
        <v>47</v>
      </c>
      <c r="C1679" s="4">
        <v>0.01</v>
      </c>
      <c r="D1679" s="8">
        <v>7.98</v>
      </c>
      <c r="E1679" s="4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 s="5">
        <v>0.59</v>
      </c>
      <c r="O1679" t="s">
        <v>33</v>
      </c>
      <c r="P1679" t="s">
        <v>53</v>
      </c>
      <c r="Q1679" t="s">
        <v>415</v>
      </c>
      <c r="R1679" t="s">
        <v>2695</v>
      </c>
      <c r="S1679" s="7">
        <v>21220</v>
      </c>
      <c r="T1679" s="3">
        <v>42177</v>
      </c>
      <c r="U1679" s="3">
        <v>42178</v>
      </c>
      <c r="V1679" s="4">
        <v>-34.591999999999999</v>
      </c>
      <c r="W1679">
        <v>4</v>
      </c>
      <c r="X1679">
        <v>34.909999999999997</v>
      </c>
      <c r="Y1679" s="7">
        <v>88612</v>
      </c>
    </row>
    <row r="1680" spans="1:25" ht="12.75" customHeight="1">
      <c r="A1680">
        <v>25953</v>
      </c>
      <c r="B1680" t="s">
        <v>25</v>
      </c>
      <c r="C1680" s="4">
        <v>0.06</v>
      </c>
      <c r="D1680" s="8">
        <v>42.98</v>
      </c>
      <c r="E1680" s="4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 s="5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 s="7">
        <v>43050</v>
      </c>
      <c r="T1680" s="3">
        <v>42115</v>
      </c>
      <c r="U1680" s="3">
        <v>42117</v>
      </c>
      <c r="V1680" s="4">
        <v>-24.63</v>
      </c>
      <c r="W1680">
        <v>1</v>
      </c>
      <c r="X1680">
        <v>47.04</v>
      </c>
      <c r="Y1680" s="7">
        <v>88610</v>
      </c>
    </row>
    <row r="1681" spans="1:25" ht="12.75" customHeight="1">
      <c r="A1681">
        <v>21390</v>
      </c>
      <c r="B1681" t="s">
        <v>37</v>
      </c>
      <c r="C1681" s="4">
        <v>0.08</v>
      </c>
      <c r="D1681" s="8">
        <v>9.68</v>
      </c>
      <c r="E1681" s="4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 s="5">
        <v>0.37</v>
      </c>
      <c r="O1681" t="s">
        <v>33</v>
      </c>
      <c r="P1681" t="s">
        <v>136</v>
      </c>
      <c r="Q1681" t="s">
        <v>362</v>
      </c>
      <c r="R1681" t="s">
        <v>2699</v>
      </c>
      <c r="S1681" s="7">
        <v>33021</v>
      </c>
      <c r="T1681" s="3">
        <v>42057</v>
      </c>
      <c r="U1681" s="3">
        <v>42059</v>
      </c>
      <c r="V1681" s="4">
        <v>-536.24199999999996</v>
      </c>
      <c r="W1681">
        <v>1</v>
      </c>
      <c r="X1681">
        <v>10.94</v>
      </c>
      <c r="Y1681" s="7">
        <v>86085</v>
      </c>
    </row>
    <row r="1682" spans="1:25" ht="12.75" customHeight="1">
      <c r="A1682">
        <v>21391</v>
      </c>
      <c r="B1682" t="s">
        <v>37</v>
      </c>
      <c r="C1682" s="4">
        <v>0.04</v>
      </c>
      <c r="D1682" s="8">
        <v>150.97999999999999</v>
      </c>
      <c r="E1682" s="4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 s="5">
        <v>0.7</v>
      </c>
      <c r="O1682" t="s">
        <v>33</v>
      </c>
      <c r="P1682" t="s">
        <v>136</v>
      </c>
      <c r="Q1682" t="s">
        <v>362</v>
      </c>
      <c r="R1682" t="s">
        <v>2699</v>
      </c>
      <c r="S1682" s="7">
        <v>33021</v>
      </c>
      <c r="T1682" s="3">
        <v>42057</v>
      </c>
      <c r="U1682" s="3">
        <v>42058</v>
      </c>
      <c r="V1682" s="4">
        <v>-125.86000000000001</v>
      </c>
      <c r="W1682">
        <v>5</v>
      </c>
      <c r="X1682">
        <v>731.38</v>
      </c>
      <c r="Y1682" s="7">
        <v>86085</v>
      </c>
    </row>
    <row r="1683" spans="1:25" ht="12.75" customHeight="1">
      <c r="A1683">
        <v>18041</v>
      </c>
      <c r="B1683" t="s">
        <v>25</v>
      </c>
      <c r="C1683" s="4">
        <v>0.06</v>
      </c>
      <c r="D1683" s="8">
        <v>363.25</v>
      </c>
      <c r="E1683" s="4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 s="5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 s="7">
        <v>33021</v>
      </c>
      <c r="T1683" s="3">
        <v>42091</v>
      </c>
      <c r="U1683" s="3">
        <v>42093</v>
      </c>
      <c r="V1683" s="4">
        <v>36.164099999999998</v>
      </c>
      <c r="W1683">
        <v>1</v>
      </c>
      <c r="X1683">
        <v>344.87</v>
      </c>
      <c r="Y1683" s="7">
        <v>86086</v>
      </c>
    </row>
    <row r="1684" spans="1:25" ht="12.75" customHeight="1">
      <c r="A1684">
        <v>21096</v>
      </c>
      <c r="B1684" t="s">
        <v>25</v>
      </c>
      <c r="C1684" s="4">
        <v>0.01</v>
      </c>
      <c r="D1684" s="8">
        <v>30.97</v>
      </c>
      <c r="E1684" s="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 s="5">
        <v>0.74</v>
      </c>
      <c r="O1684" t="s">
        <v>33</v>
      </c>
      <c r="P1684" t="s">
        <v>61</v>
      </c>
      <c r="Q1684" t="s">
        <v>1858</v>
      </c>
      <c r="R1684" t="s">
        <v>2703</v>
      </c>
      <c r="S1684" s="7">
        <v>53151</v>
      </c>
      <c r="T1684" s="3">
        <v>42107</v>
      </c>
      <c r="U1684" s="3">
        <v>42109</v>
      </c>
      <c r="V1684" s="4">
        <v>17.102799999999998</v>
      </c>
      <c r="W1684">
        <v>17</v>
      </c>
      <c r="X1684">
        <v>523.05999999999995</v>
      </c>
      <c r="Y1684" s="7">
        <v>87186</v>
      </c>
    </row>
    <row r="1685" spans="1:25" ht="12.75" customHeight="1">
      <c r="A1685">
        <v>21097</v>
      </c>
      <c r="B1685" t="s">
        <v>25</v>
      </c>
      <c r="C1685" s="4">
        <v>0.08</v>
      </c>
      <c r="D1685" s="8">
        <v>125.99</v>
      </c>
      <c r="E1685" s="4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 s="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 s="7">
        <v>53151</v>
      </c>
      <c r="T1685" s="3">
        <v>42107</v>
      </c>
      <c r="U1685" s="3">
        <v>42109</v>
      </c>
      <c r="V1685" s="4">
        <v>1269.3819599999999</v>
      </c>
      <c r="W1685">
        <v>23</v>
      </c>
      <c r="X1685">
        <v>2424.6799999999998</v>
      </c>
      <c r="Y1685" s="7">
        <v>87186</v>
      </c>
    </row>
    <row r="1686" spans="1:25" ht="12.75" customHeight="1">
      <c r="A1686">
        <v>24770</v>
      </c>
      <c r="B1686" t="s">
        <v>47</v>
      </c>
      <c r="C1686" s="4">
        <v>0.1</v>
      </c>
      <c r="D1686" s="8">
        <v>442.14</v>
      </c>
      <c r="E1686" s="4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 s="5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 s="7">
        <v>53151</v>
      </c>
      <c r="T1686" s="3">
        <v>42144</v>
      </c>
      <c r="U1686" s="3">
        <v>42145</v>
      </c>
      <c r="V1686" s="4">
        <v>137.68794000000014</v>
      </c>
      <c r="W1686">
        <v>6</v>
      </c>
      <c r="X1686">
        <v>2411.4299999999998</v>
      </c>
      <c r="Y1686" s="7">
        <v>87187</v>
      </c>
    </row>
    <row r="1687" spans="1:25" ht="12.75" customHeight="1">
      <c r="A1687">
        <v>19599</v>
      </c>
      <c r="B1687" t="s">
        <v>56</v>
      </c>
      <c r="C1687" s="4">
        <v>0.01</v>
      </c>
      <c r="D1687" s="8">
        <v>35.99</v>
      </c>
      <c r="E1687" s="4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 s="5">
        <v>0.35</v>
      </c>
      <c r="O1687" t="s">
        <v>33</v>
      </c>
      <c r="P1687" t="s">
        <v>61</v>
      </c>
      <c r="Q1687" t="s">
        <v>1858</v>
      </c>
      <c r="R1687" t="s">
        <v>2705</v>
      </c>
      <c r="S1687" s="7">
        <v>53154</v>
      </c>
      <c r="T1687" s="3">
        <v>42146</v>
      </c>
      <c r="U1687" s="3">
        <v>42147</v>
      </c>
      <c r="V1687" s="4">
        <v>882.48239999999998</v>
      </c>
      <c r="W1687">
        <v>41</v>
      </c>
      <c r="X1687">
        <v>1278.96</v>
      </c>
      <c r="Y1687" s="7">
        <v>89047</v>
      </c>
    </row>
    <row r="1688" spans="1:25" ht="12.75" customHeight="1">
      <c r="A1688">
        <v>20182</v>
      </c>
      <c r="B1688" t="s">
        <v>47</v>
      </c>
      <c r="C1688" s="4">
        <v>0.09</v>
      </c>
      <c r="D1688" s="8">
        <v>2.94</v>
      </c>
      <c r="E1688" s="4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 s="5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 s="7">
        <v>58601</v>
      </c>
      <c r="T1688" s="3">
        <v>42031</v>
      </c>
      <c r="U1688" s="3">
        <v>42032</v>
      </c>
      <c r="V1688" s="4">
        <v>6.3840000000000003</v>
      </c>
      <c r="W1688">
        <v>9</v>
      </c>
      <c r="X1688">
        <v>25.22</v>
      </c>
      <c r="Y1688" s="7">
        <v>86544</v>
      </c>
    </row>
    <row r="1689" spans="1:25" ht="12.75" customHeight="1">
      <c r="A1689">
        <v>18169</v>
      </c>
      <c r="B1689" t="s">
        <v>47</v>
      </c>
      <c r="C1689" s="4">
        <v>0.02</v>
      </c>
      <c r="D1689" s="8">
        <v>5.34</v>
      </c>
      <c r="E1689" s="4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 s="5">
        <v>0.38</v>
      </c>
      <c r="O1689" t="s">
        <v>33</v>
      </c>
      <c r="P1689" t="s">
        <v>61</v>
      </c>
      <c r="Q1689" t="s">
        <v>2659</v>
      </c>
      <c r="R1689" t="s">
        <v>2707</v>
      </c>
      <c r="S1689" s="7">
        <v>58601</v>
      </c>
      <c r="T1689" s="3">
        <v>42061</v>
      </c>
      <c r="U1689" s="3">
        <v>42063</v>
      </c>
      <c r="V1689" s="4">
        <v>5.2955000000000005</v>
      </c>
      <c r="W1689">
        <v>6</v>
      </c>
      <c r="X1689">
        <v>34.729999999999997</v>
      </c>
      <c r="Y1689" s="7">
        <v>86545</v>
      </c>
    </row>
    <row r="1690" spans="1:25" ht="12.75" customHeight="1">
      <c r="A1690">
        <v>18170</v>
      </c>
      <c r="B1690" t="s">
        <v>47</v>
      </c>
      <c r="C1690" s="4">
        <v>0.03</v>
      </c>
      <c r="D1690" s="8">
        <v>40.98</v>
      </c>
      <c r="E1690" s="4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 s="5">
        <v>0.37</v>
      </c>
      <c r="O1690" t="s">
        <v>33</v>
      </c>
      <c r="P1690" t="s">
        <v>61</v>
      </c>
      <c r="Q1690" t="s">
        <v>2659</v>
      </c>
      <c r="R1690" t="s">
        <v>2707</v>
      </c>
      <c r="S1690" s="7">
        <v>58601</v>
      </c>
      <c r="T1690" s="3">
        <v>42061</v>
      </c>
      <c r="U1690" s="3">
        <v>42062</v>
      </c>
      <c r="V1690" s="4">
        <v>170.79569999999998</v>
      </c>
      <c r="W1690">
        <v>6</v>
      </c>
      <c r="X1690">
        <v>247.53</v>
      </c>
      <c r="Y1690" s="7">
        <v>86545</v>
      </c>
    </row>
    <row r="1691" spans="1:25" ht="12.75" customHeight="1">
      <c r="A1691">
        <v>18133</v>
      </c>
      <c r="B1691" t="s">
        <v>37</v>
      </c>
      <c r="C1691" s="4">
        <v>0.01</v>
      </c>
      <c r="D1691" s="8">
        <v>5.84</v>
      </c>
      <c r="E1691" s="4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 s="5">
        <v>0.49</v>
      </c>
      <c r="O1691" t="s">
        <v>33</v>
      </c>
      <c r="P1691" t="s">
        <v>61</v>
      </c>
      <c r="Q1691" t="s">
        <v>2659</v>
      </c>
      <c r="R1691" t="s">
        <v>2707</v>
      </c>
      <c r="S1691" s="7">
        <v>58601</v>
      </c>
      <c r="T1691" s="3">
        <v>42169</v>
      </c>
      <c r="U1691" s="3">
        <v>42171</v>
      </c>
      <c r="V1691" s="4">
        <v>16.091999999999999</v>
      </c>
      <c r="W1691">
        <v>4</v>
      </c>
      <c r="X1691">
        <v>23.89</v>
      </c>
      <c r="Y1691" s="7">
        <v>86546</v>
      </c>
    </row>
    <row r="1692" spans="1:25" ht="12.75" customHeight="1">
      <c r="A1692">
        <v>20183</v>
      </c>
      <c r="B1692" t="s">
        <v>47</v>
      </c>
      <c r="C1692" s="4">
        <v>0.03</v>
      </c>
      <c r="D1692" s="8">
        <v>43.98</v>
      </c>
      <c r="E1692" s="4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 s="5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 s="7">
        <v>44870</v>
      </c>
      <c r="T1692" s="3">
        <v>42031</v>
      </c>
      <c r="U1692" s="3">
        <v>42033</v>
      </c>
      <c r="V1692" s="4">
        <v>274.0788</v>
      </c>
      <c r="W1692">
        <v>10</v>
      </c>
      <c r="X1692">
        <v>454.4</v>
      </c>
      <c r="Y1692" s="7">
        <v>86544</v>
      </c>
    </row>
    <row r="1693" spans="1:25" ht="12.75" customHeight="1">
      <c r="A1693">
        <v>20184</v>
      </c>
      <c r="B1693" t="s">
        <v>47</v>
      </c>
      <c r="C1693" s="4">
        <v>0.06</v>
      </c>
      <c r="D1693" s="8">
        <v>1.1399999999999999</v>
      </c>
      <c r="E1693" s="4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 s="5">
        <v>0.38</v>
      </c>
      <c r="O1693" t="s">
        <v>33</v>
      </c>
      <c r="P1693" t="s">
        <v>53</v>
      </c>
      <c r="Q1693" t="s">
        <v>154</v>
      </c>
      <c r="R1693" t="s">
        <v>2709</v>
      </c>
      <c r="S1693" s="7">
        <v>44870</v>
      </c>
      <c r="T1693" s="3">
        <v>42031</v>
      </c>
      <c r="U1693" s="3">
        <v>42034</v>
      </c>
      <c r="V1693" s="4">
        <v>-3.782</v>
      </c>
      <c r="W1693">
        <v>13</v>
      </c>
      <c r="X1693">
        <v>14.53</v>
      </c>
      <c r="Y1693" s="7">
        <v>86544</v>
      </c>
    </row>
    <row r="1694" spans="1:25" ht="12.75" customHeight="1">
      <c r="A1694">
        <v>20435</v>
      </c>
      <c r="B1694" t="s">
        <v>56</v>
      </c>
      <c r="C1694" s="4">
        <v>7.0000000000000007E-2</v>
      </c>
      <c r="D1694" s="8">
        <v>2.61</v>
      </c>
      <c r="E1694" s="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 s="5">
        <v>0.39</v>
      </c>
      <c r="O1694" t="s">
        <v>33</v>
      </c>
      <c r="P1694" t="s">
        <v>53</v>
      </c>
      <c r="Q1694" t="s">
        <v>154</v>
      </c>
      <c r="R1694" t="s">
        <v>2709</v>
      </c>
      <c r="S1694" s="7">
        <v>44870</v>
      </c>
      <c r="T1694" s="3">
        <v>42060</v>
      </c>
      <c r="U1694" s="3">
        <v>42062</v>
      </c>
      <c r="V1694" s="4">
        <v>10.798499999999999</v>
      </c>
      <c r="W1694">
        <v>6</v>
      </c>
      <c r="X1694">
        <v>15.65</v>
      </c>
      <c r="Y1694" s="7">
        <v>86547</v>
      </c>
    </row>
    <row r="1695" spans="1:25" ht="12.75" customHeight="1">
      <c r="A1695">
        <v>23110</v>
      </c>
      <c r="B1695" t="s">
        <v>106</v>
      </c>
      <c r="C1695" s="4">
        <v>0.04</v>
      </c>
      <c r="D1695" s="8">
        <v>2.88</v>
      </c>
      <c r="E1695" s="4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 s="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 s="7">
        <v>44870</v>
      </c>
      <c r="T1695" s="3">
        <v>42154</v>
      </c>
      <c r="U1695" s="3">
        <v>42159</v>
      </c>
      <c r="V1695" s="4">
        <v>15.246</v>
      </c>
      <c r="W1695">
        <v>39</v>
      </c>
      <c r="X1695">
        <v>111.92</v>
      </c>
      <c r="Y1695" s="7">
        <v>86548</v>
      </c>
    </row>
    <row r="1696" spans="1:25" ht="12.75" customHeight="1">
      <c r="A1696">
        <v>20816</v>
      </c>
      <c r="B1696" t="s">
        <v>47</v>
      </c>
      <c r="C1696" s="4">
        <v>0.09</v>
      </c>
      <c r="D1696" s="8">
        <v>100.98</v>
      </c>
      <c r="E1696" s="4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 s="5">
        <v>0.62</v>
      </c>
      <c r="O1696" t="s">
        <v>33</v>
      </c>
      <c r="P1696" t="s">
        <v>61</v>
      </c>
      <c r="Q1696" t="s">
        <v>330</v>
      </c>
      <c r="R1696" t="s">
        <v>2711</v>
      </c>
      <c r="S1696" s="7">
        <v>50265</v>
      </c>
      <c r="T1696" s="3">
        <v>42183</v>
      </c>
      <c r="U1696" s="3">
        <v>42183</v>
      </c>
      <c r="V1696" s="4">
        <v>-103.624</v>
      </c>
      <c r="W1696">
        <v>17</v>
      </c>
      <c r="X1696">
        <v>1700.38</v>
      </c>
      <c r="Y1696" s="7">
        <v>91180</v>
      </c>
    </row>
    <row r="1697" spans="1:25" ht="12.75" customHeight="1">
      <c r="A1697">
        <v>20817</v>
      </c>
      <c r="B1697" t="s">
        <v>47</v>
      </c>
      <c r="C1697" s="4">
        <v>0.1</v>
      </c>
      <c r="D1697" s="8">
        <v>5.78</v>
      </c>
      <c r="E1697" s="4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 s="5">
        <v>0.36</v>
      </c>
      <c r="O1697" t="s">
        <v>33</v>
      </c>
      <c r="P1697" t="s">
        <v>61</v>
      </c>
      <c r="Q1697" t="s">
        <v>330</v>
      </c>
      <c r="R1697" t="s">
        <v>2711</v>
      </c>
      <c r="S1697" s="7">
        <v>50265</v>
      </c>
      <c r="T1697" s="3">
        <v>42183</v>
      </c>
      <c r="U1697" s="3">
        <v>42183</v>
      </c>
      <c r="V1697" s="4">
        <v>-57.823999999999998</v>
      </c>
      <c r="W1697">
        <v>6</v>
      </c>
      <c r="X1697">
        <v>35.96</v>
      </c>
      <c r="Y1697" s="7">
        <v>91180</v>
      </c>
    </row>
    <row r="1698" spans="1:25" ht="12.75" customHeight="1">
      <c r="A1698">
        <v>22473</v>
      </c>
      <c r="B1698" t="s">
        <v>106</v>
      </c>
      <c r="C1698" s="4">
        <v>0.05</v>
      </c>
      <c r="D1698" s="8">
        <v>70.97</v>
      </c>
      <c r="E1698" s="4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 s="5">
        <v>0.59</v>
      </c>
      <c r="O1698" t="s">
        <v>33</v>
      </c>
      <c r="P1698" t="s">
        <v>61</v>
      </c>
      <c r="Q1698" t="s">
        <v>1858</v>
      </c>
      <c r="R1698" t="s">
        <v>2714</v>
      </c>
      <c r="S1698" s="7">
        <v>53402</v>
      </c>
      <c r="T1698" s="3">
        <v>42132</v>
      </c>
      <c r="U1698" s="3">
        <v>42137</v>
      </c>
      <c r="V1698" s="4">
        <v>18.218000000000018</v>
      </c>
      <c r="W1698">
        <v>2</v>
      </c>
      <c r="X1698">
        <v>141.59</v>
      </c>
      <c r="Y1698" s="7">
        <v>91466</v>
      </c>
    </row>
    <row r="1699" spans="1:25" ht="12.75" customHeight="1">
      <c r="A1699">
        <v>22476</v>
      </c>
      <c r="B1699" t="s">
        <v>106</v>
      </c>
      <c r="C1699" s="4">
        <v>0</v>
      </c>
      <c r="D1699" s="8">
        <v>5.28</v>
      </c>
      <c r="E1699" s="4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 s="5">
        <v>0.4</v>
      </c>
      <c r="O1699" t="s">
        <v>33</v>
      </c>
      <c r="P1699" t="s">
        <v>61</v>
      </c>
      <c r="Q1699" t="s">
        <v>1858</v>
      </c>
      <c r="R1699" t="s">
        <v>2716</v>
      </c>
      <c r="S1699" s="7">
        <v>53081</v>
      </c>
      <c r="T1699" s="3">
        <v>42132</v>
      </c>
      <c r="U1699" s="3">
        <v>42139</v>
      </c>
      <c r="V1699" s="4">
        <v>25.058000000000035</v>
      </c>
      <c r="W1699">
        <v>36</v>
      </c>
      <c r="X1699">
        <v>203.05</v>
      </c>
      <c r="Y1699" s="7">
        <v>91466</v>
      </c>
    </row>
    <row r="1700" spans="1:25" ht="12.75" customHeight="1">
      <c r="A1700">
        <v>20891</v>
      </c>
      <c r="B1700" t="s">
        <v>37</v>
      </c>
      <c r="C1700" s="4">
        <v>0.03</v>
      </c>
      <c r="D1700" s="8">
        <v>10.98</v>
      </c>
      <c r="E1700" s="4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 s="5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 s="7">
        <v>48237</v>
      </c>
      <c r="T1700" s="3">
        <v>42104</v>
      </c>
      <c r="U1700" s="3">
        <v>42105</v>
      </c>
      <c r="V1700" s="4">
        <v>11.82</v>
      </c>
      <c r="W1700">
        <v>5</v>
      </c>
      <c r="X1700">
        <v>56.19</v>
      </c>
      <c r="Y1700" s="7">
        <v>87041</v>
      </c>
    </row>
    <row r="1701" spans="1:25" ht="12.75" customHeight="1">
      <c r="A1701">
        <v>21499</v>
      </c>
      <c r="B1701" t="s">
        <v>106</v>
      </c>
      <c r="C1701" s="4">
        <v>0.01</v>
      </c>
      <c r="D1701" s="8">
        <v>10.14</v>
      </c>
      <c r="E1701" s="4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 s="5">
        <v>0.36</v>
      </c>
      <c r="O1701" t="s">
        <v>33</v>
      </c>
      <c r="P1701" t="s">
        <v>61</v>
      </c>
      <c r="Q1701" t="s">
        <v>300</v>
      </c>
      <c r="R1701" t="s">
        <v>2720</v>
      </c>
      <c r="S1701" s="7">
        <v>48342</v>
      </c>
      <c r="T1701" s="3">
        <v>42030</v>
      </c>
      <c r="U1701" s="3">
        <v>42032</v>
      </c>
      <c r="V1701" s="4">
        <v>28.151999999999997</v>
      </c>
      <c r="W1701">
        <v>4</v>
      </c>
      <c r="X1701">
        <v>40.799999999999997</v>
      </c>
      <c r="Y1701" s="7">
        <v>87042</v>
      </c>
    </row>
    <row r="1702" spans="1:25" ht="12.75" customHeight="1">
      <c r="A1702">
        <v>23836</v>
      </c>
      <c r="B1702" t="s">
        <v>37</v>
      </c>
      <c r="C1702" s="4">
        <v>0.03</v>
      </c>
      <c r="D1702" s="8">
        <v>5.4</v>
      </c>
      <c r="E1702" s="4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 s="5">
        <v>0.37</v>
      </c>
      <c r="O1702" t="s">
        <v>33</v>
      </c>
      <c r="P1702" t="s">
        <v>61</v>
      </c>
      <c r="Q1702" t="s">
        <v>300</v>
      </c>
      <c r="R1702" t="s">
        <v>2722</v>
      </c>
      <c r="S1702" s="7">
        <v>48060</v>
      </c>
      <c r="T1702" s="3">
        <v>42080</v>
      </c>
      <c r="U1702" s="3">
        <v>42082</v>
      </c>
      <c r="V1702" s="4">
        <v>-237.54400000000001</v>
      </c>
      <c r="W1702">
        <v>21</v>
      </c>
      <c r="X1702">
        <v>117.87</v>
      </c>
      <c r="Y1702" s="7">
        <v>87043</v>
      </c>
    </row>
    <row r="1703" spans="1:25" ht="12.75" customHeight="1">
      <c r="A1703">
        <v>25282</v>
      </c>
      <c r="B1703" t="s">
        <v>56</v>
      </c>
      <c r="C1703" s="4">
        <v>0.03</v>
      </c>
      <c r="D1703" s="8">
        <v>85.99</v>
      </c>
      <c r="E1703" s="4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 s="5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 s="7">
        <v>83814</v>
      </c>
      <c r="T1703" s="3">
        <v>42068</v>
      </c>
      <c r="U1703" s="3">
        <v>42069</v>
      </c>
      <c r="V1703" s="4">
        <v>1037.1044999999999</v>
      </c>
      <c r="W1703">
        <v>20</v>
      </c>
      <c r="X1703">
        <v>1503.05</v>
      </c>
      <c r="Y1703" s="7">
        <v>91586</v>
      </c>
    </row>
    <row r="1704" spans="1:25" ht="12.75" customHeight="1">
      <c r="A1704">
        <v>7664</v>
      </c>
      <c r="B1704" t="s">
        <v>106</v>
      </c>
      <c r="C1704" s="4">
        <v>0.08</v>
      </c>
      <c r="D1704" s="8">
        <v>6.48</v>
      </c>
      <c r="E1704" s="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 s="5">
        <v>0.36</v>
      </c>
      <c r="O1704" t="s">
        <v>33</v>
      </c>
      <c r="P1704" t="s">
        <v>34</v>
      </c>
      <c r="Q1704" t="s">
        <v>45</v>
      </c>
      <c r="R1704" t="s">
        <v>663</v>
      </c>
      <c r="S1704" s="7">
        <v>90049</v>
      </c>
      <c r="T1704" s="3">
        <v>42045</v>
      </c>
      <c r="U1704" s="3">
        <v>42050</v>
      </c>
      <c r="V1704" s="4">
        <v>-94.59</v>
      </c>
      <c r="W1704">
        <v>58</v>
      </c>
      <c r="X1704">
        <v>382.33</v>
      </c>
      <c r="Y1704" s="7">
        <v>54949</v>
      </c>
    </row>
    <row r="1705" spans="1:25" ht="12.75" customHeight="1">
      <c r="A1705">
        <v>7665</v>
      </c>
      <c r="B1705" t="s">
        <v>106</v>
      </c>
      <c r="C1705" s="4">
        <v>0.09</v>
      </c>
      <c r="D1705" s="8">
        <v>20.98</v>
      </c>
      <c r="E1705" s="4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 s="5">
        <v>0.78</v>
      </c>
      <c r="O1705" t="s">
        <v>33</v>
      </c>
      <c r="P1705" t="s">
        <v>34</v>
      </c>
      <c r="Q1705" t="s">
        <v>45</v>
      </c>
      <c r="R1705" t="s">
        <v>663</v>
      </c>
      <c r="S1705" s="7">
        <v>90049</v>
      </c>
      <c r="T1705" s="3">
        <v>42045</v>
      </c>
      <c r="U1705" s="3">
        <v>42052</v>
      </c>
      <c r="V1705" s="4">
        <v>-293.74</v>
      </c>
      <c r="W1705">
        <v>13</v>
      </c>
      <c r="X1705">
        <v>356.61</v>
      </c>
      <c r="Y1705" s="7">
        <v>54949</v>
      </c>
    </row>
    <row r="1706" spans="1:25" ht="12.75" customHeight="1">
      <c r="A1706">
        <v>23295</v>
      </c>
      <c r="B1706" t="s">
        <v>47</v>
      </c>
      <c r="C1706" s="4">
        <v>0.05</v>
      </c>
      <c r="D1706" s="8">
        <v>122.99</v>
      </c>
      <c r="E1706" s="4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 s="5">
        <v>0.37</v>
      </c>
      <c r="O1706" t="s">
        <v>33</v>
      </c>
      <c r="P1706" t="s">
        <v>34</v>
      </c>
      <c r="Q1706" t="s">
        <v>1741</v>
      </c>
      <c r="R1706" t="s">
        <v>2724</v>
      </c>
      <c r="S1706" s="7">
        <v>83814</v>
      </c>
      <c r="T1706" s="3">
        <v>42163</v>
      </c>
      <c r="U1706" s="3">
        <v>42166</v>
      </c>
      <c r="V1706" s="4">
        <v>1039.7540999999999</v>
      </c>
      <c r="W1706">
        <v>12</v>
      </c>
      <c r="X1706">
        <v>1506.89</v>
      </c>
      <c r="Y1706" s="7">
        <v>91389</v>
      </c>
    </row>
    <row r="1707" spans="1:25" ht="12.75" customHeight="1">
      <c r="A1707">
        <v>25664</v>
      </c>
      <c r="B1707" t="s">
        <v>106</v>
      </c>
      <c r="C1707" s="4">
        <v>0.08</v>
      </c>
      <c r="D1707" s="8">
        <v>6.48</v>
      </c>
      <c r="E1707" s="4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 s="5">
        <v>0.36</v>
      </c>
      <c r="O1707" t="s">
        <v>33</v>
      </c>
      <c r="P1707" t="s">
        <v>34</v>
      </c>
      <c r="Q1707" t="s">
        <v>1741</v>
      </c>
      <c r="R1707" t="s">
        <v>2729</v>
      </c>
      <c r="S1707" s="7">
        <v>83402</v>
      </c>
      <c r="T1707" s="3">
        <v>42045</v>
      </c>
      <c r="U1707" s="3">
        <v>42050</v>
      </c>
      <c r="V1707" s="4">
        <v>-49.186800000000005</v>
      </c>
      <c r="W1707">
        <v>14</v>
      </c>
      <c r="X1707">
        <v>92.29</v>
      </c>
      <c r="Y1707" s="7">
        <v>91388</v>
      </c>
    </row>
    <row r="1708" spans="1:25" ht="12.75" customHeight="1">
      <c r="A1708">
        <v>25665</v>
      </c>
      <c r="B1708" t="s">
        <v>106</v>
      </c>
      <c r="C1708" s="4">
        <v>0.09</v>
      </c>
      <c r="D1708" s="8">
        <v>20.98</v>
      </c>
      <c r="E1708" s="4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 s="5">
        <v>0.78</v>
      </c>
      <c r="O1708" t="s">
        <v>33</v>
      </c>
      <c r="P1708" t="s">
        <v>34</v>
      </c>
      <c r="Q1708" t="s">
        <v>1741</v>
      </c>
      <c r="R1708" t="s">
        <v>2729</v>
      </c>
      <c r="S1708" s="7">
        <v>83402</v>
      </c>
      <c r="T1708" s="3">
        <v>42045</v>
      </c>
      <c r="U1708" s="3">
        <v>42052</v>
      </c>
      <c r="V1708" s="4">
        <v>-152.7448</v>
      </c>
      <c r="W1708">
        <v>3</v>
      </c>
      <c r="X1708">
        <v>82.29</v>
      </c>
      <c r="Y1708" s="7">
        <v>91388</v>
      </c>
    </row>
    <row r="1709" spans="1:25" ht="12.75" customHeight="1">
      <c r="A1709">
        <v>23627</v>
      </c>
      <c r="B1709" t="s">
        <v>47</v>
      </c>
      <c r="C1709" s="4">
        <v>0.05</v>
      </c>
      <c r="D1709" s="8">
        <v>9.99</v>
      </c>
      <c r="E1709" s="4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 s="5">
        <v>0.4</v>
      </c>
      <c r="O1709" t="s">
        <v>33</v>
      </c>
      <c r="P1709" t="s">
        <v>61</v>
      </c>
      <c r="Q1709" t="s">
        <v>62</v>
      </c>
      <c r="R1709" t="s">
        <v>2731</v>
      </c>
      <c r="S1709" s="7">
        <v>55343</v>
      </c>
      <c r="T1709" s="3">
        <v>42069</v>
      </c>
      <c r="U1709" s="3">
        <v>42070</v>
      </c>
      <c r="V1709" s="4">
        <v>41.3</v>
      </c>
      <c r="W1709">
        <v>20</v>
      </c>
      <c r="X1709">
        <v>203.37</v>
      </c>
      <c r="Y1709" s="7">
        <v>89414</v>
      </c>
    </row>
    <row r="1710" spans="1:25" ht="12.75" customHeight="1">
      <c r="A1710">
        <v>24908</v>
      </c>
      <c r="B1710" t="s">
        <v>25</v>
      </c>
      <c r="C1710" s="4">
        <v>0.01</v>
      </c>
      <c r="D1710" s="8">
        <v>12.28</v>
      </c>
      <c r="E1710" s="4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 s="5">
        <v>0.38</v>
      </c>
      <c r="O1710" t="s">
        <v>33</v>
      </c>
      <c r="P1710" t="s">
        <v>61</v>
      </c>
      <c r="Q1710" t="s">
        <v>62</v>
      </c>
      <c r="R1710" t="s">
        <v>2731</v>
      </c>
      <c r="S1710" s="7">
        <v>55343</v>
      </c>
      <c r="T1710" s="3">
        <v>42166</v>
      </c>
      <c r="U1710" s="3">
        <v>42167</v>
      </c>
      <c r="V1710" s="4">
        <v>47.61</v>
      </c>
      <c r="W1710">
        <v>12</v>
      </c>
      <c r="X1710">
        <v>160.66</v>
      </c>
      <c r="Y1710" s="7">
        <v>89415</v>
      </c>
    </row>
    <row r="1711" spans="1:25" ht="12.75" customHeight="1">
      <c r="A1711">
        <v>7898</v>
      </c>
      <c r="B1711" t="s">
        <v>47</v>
      </c>
      <c r="C1711" s="4">
        <v>0.03</v>
      </c>
      <c r="D1711" s="8">
        <v>5.98</v>
      </c>
      <c r="E1711" s="4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 s="5">
        <v>0.4</v>
      </c>
      <c r="O1711" t="s">
        <v>33</v>
      </c>
      <c r="P1711" t="s">
        <v>53</v>
      </c>
      <c r="Q1711" t="s">
        <v>193</v>
      </c>
      <c r="R1711" t="s">
        <v>194</v>
      </c>
      <c r="S1711" s="7">
        <v>2113</v>
      </c>
      <c r="T1711" s="3">
        <v>42152</v>
      </c>
      <c r="U1711" s="3">
        <v>42153</v>
      </c>
      <c r="V1711" s="4">
        <v>-23.5</v>
      </c>
      <c r="W1711">
        <v>16</v>
      </c>
      <c r="X1711">
        <v>107.08</v>
      </c>
      <c r="Y1711" s="7">
        <v>56486</v>
      </c>
    </row>
    <row r="1712" spans="1:25" ht="12.75" customHeight="1">
      <c r="A1712">
        <v>1041</v>
      </c>
      <c r="B1712" t="s">
        <v>47</v>
      </c>
      <c r="C1712" s="4">
        <v>0.03</v>
      </c>
      <c r="D1712" s="8">
        <v>300.64999999999998</v>
      </c>
      <c r="E1712" s="4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 s="5">
        <v>0.52</v>
      </c>
      <c r="O1712" t="s">
        <v>33</v>
      </c>
      <c r="P1712" t="s">
        <v>53</v>
      </c>
      <c r="Q1712" t="s">
        <v>193</v>
      </c>
      <c r="R1712" t="s">
        <v>194</v>
      </c>
      <c r="S1712" s="7">
        <v>2113</v>
      </c>
      <c r="T1712" s="3">
        <v>42122</v>
      </c>
      <c r="U1712" s="3">
        <v>42124</v>
      </c>
      <c r="V1712" s="4">
        <v>1282.4959999999999</v>
      </c>
      <c r="W1712">
        <v>32</v>
      </c>
      <c r="X1712">
        <v>9705.4599999999991</v>
      </c>
      <c r="Y1712" s="7">
        <v>7623</v>
      </c>
    </row>
    <row r="1713" spans="1:25" ht="12.75" customHeight="1">
      <c r="A1713">
        <v>1042</v>
      </c>
      <c r="B1713" t="s">
        <v>47</v>
      </c>
      <c r="C1713" s="4">
        <v>0.06</v>
      </c>
      <c r="D1713" s="8">
        <v>49.99</v>
      </c>
      <c r="E1713" s="4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 s="5">
        <v>0.45</v>
      </c>
      <c r="O1713" t="s">
        <v>33</v>
      </c>
      <c r="P1713" t="s">
        <v>53</v>
      </c>
      <c r="Q1713" t="s">
        <v>193</v>
      </c>
      <c r="R1713" t="s">
        <v>194</v>
      </c>
      <c r="S1713" s="7">
        <v>2113</v>
      </c>
      <c r="T1713" s="3">
        <v>42122</v>
      </c>
      <c r="U1713" s="3">
        <v>42124</v>
      </c>
      <c r="V1713" s="4">
        <v>17.2</v>
      </c>
      <c r="W1713">
        <v>67</v>
      </c>
      <c r="X1713">
        <v>3247.54</v>
      </c>
      <c r="Y1713" s="7">
        <v>7623</v>
      </c>
    </row>
    <row r="1714" spans="1:25" ht="12.75" customHeight="1">
      <c r="A1714">
        <v>1043</v>
      </c>
      <c r="B1714" t="s">
        <v>47</v>
      </c>
      <c r="C1714" s="4">
        <v>0.1</v>
      </c>
      <c r="D1714" s="8">
        <v>104.85</v>
      </c>
      <c r="E1714" s="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 s="5">
        <v>0.37</v>
      </c>
      <c r="O1714" t="s">
        <v>33</v>
      </c>
      <c r="P1714" t="s">
        <v>53</v>
      </c>
      <c r="Q1714" t="s">
        <v>193</v>
      </c>
      <c r="R1714" t="s">
        <v>194</v>
      </c>
      <c r="S1714" s="7">
        <v>2113</v>
      </c>
      <c r="T1714" s="3">
        <v>42122</v>
      </c>
      <c r="U1714" s="3">
        <v>42123</v>
      </c>
      <c r="V1714" s="4">
        <v>1184.1200000000001</v>
      </c>
      <c r="W1714">
        <v>58</v>
      </c>
      <c r="X1714">
        <v>5582.63</v>
      </c>
      <c r="Y1714" s="7">
        <v>7623</v>
      </c>
    </row>
    <row r="1715" spans="1:25" ht="12.75" customHeight="1">
      <c r="A1715">
        <v>19041</v>
      </c>
      <c r="B1715" t="s">
        <v>47</v>
      </c>
      <c r="C1715" s="4">
        <v>0.03</v>
      </c>
      <c r="D1715" s="8">
        <v>300.64999999999998</v>
      </c>
      <c r="E1715" s="4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 s="5">
        <v>0.52</v>
      </c>
      <c r="O1715" t="s">
        <v>33</v>
      </c>
      <c r="P1715" t="s">
        <v>53</v>
      </c>
      <c r="Q1715" t="s">
        <v>71</v>
      </c>
      <c r="R1715" t="s">
        <v>2737</v>
      </c>
      <c r="S1715" s="7">
        <v>14609</v>
      </c>
      <c r="T1715" s="3">
        <v>42122</v>
      </c>
      <c r="U1715" s="3">
        <v>42124</v>
      </c>
      <c r="V1715" s="4">
        <v>1474.8703999999998</v>
      </c>
      <c r="W1715">
        <v>8</v>
      </c>
      <c r="X1715">
        <v>2426.36</v>
      </c>
      <c r="Y1715" s="7">
        <v>86346</v>
      </c>
    </row>
    <row r="1716" spans="1:25" ht="12.75" customHeight="1">
      <c r="A1716">
        <v>19042</v>
      </c>
      <c r="B1716" t="s">
        <v>47</v>
      </c>
      <c r="C1716" s="4">
        <v>0.06</v>
      </c>
      <c r="D1716" s="8">
        <v>49.99</v>
      </c>
      <c r="E1716" s="4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 s="5">
        <v>0.45</v>
      </c>
      <c r="O1716" t="s">
        <v>33</v>
      </c>
      <c r="P1716" t="s">
        <v>53</v>
      </c>
      <c r="Q1716" t="s">
        <v>71</v>
      </c>
      <c r="R1716" t="s">
        <v>2737</v>
      </c>
      <c r="S1716" s="7">
        <v>14609</v>
      </c>
      <c r="T1716" s="3">
        <v>42122</v>
      </c>
      <c r="U1716" s="3">
        <v>42124</v>
      </c>
      <c r="V1716" s="4">
        <v>19.78</v>
      </c>
      <c r="W1716">
        <v>17</v>
      </c>
      <c r="X1716">
        <v>824</v>
      </c>
      <c r="Y1716" s="7">
        <v>86346</v>
      </c>
    </row>
    <row r="1717" spans="1:25" ht="12.75" customHeight="1">
      <c r="A1717">
        <v>19043</v>
      </c>
      <c r="B1717" t="s">
        <v>47</v>
      </c>
      <c r="C1717" s="4">
        <v>0.1</v>
      </c>
      <c r="D1717" s="8">
        <v>104.85</v>
      </c>
      <c r="E1717" s="4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 s="5">
        <v>0.37</v>
      </c>
      <c r="O1717" t="s">
        <v>33</v>
      </c>
      <c r="P1717" t="s">
        <v>53</v>
      </c>
      <c r="Q1717" t="s">
        <v>71</v>
      </c>
      <c r="R1717" t="s">
        <v>2737</v>
      </c>
      <c r="S1717" s="7">
        <v>14609</v>
      </c>
      <c r="T1717" s="3">
        <v>42122</v>
      </c>
      <c r="U1717" s="3">
        <v>42123</v>
      </c>
      <c r="V1717" s="4">
        <v>929.7956999999999</v>
      </c>
      <c r="W1717">
        <v>14</v>
      </c>
      <c r="X1717">
        <v>1347.53</v>
      </c>
      <c r="Y1717" s="7">
        <v>86346</v>
      </c>
    </row>
    <row r="1718" spans="1:25" ht="12.75" customHeight="1">
      <c r="A1718">
        <v>22064</v>
      </c>
      <c r="B1718" t="s">
        <v>47</v>
      </c>
      <c r="C1718" s="4">
        <v>0.01</v>
      </c>
      <c r="D1718" s="8">
        <v>5.58</v>
      </c>
      <c r="E1718" s="4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 s="5">
        <v>0.35</v>
      </c>
      <c r="O1718" t="s">
        <v>33</v>
      </c>
      <c r="P1718" t="s">
        <v>34</v>
      </c>
      <c r="Q1718" t="s">
        <v>45</v>
      </c>
      <c r="R1718" t="s">
        <v>2739</v>
      </c>
      <c r="S1718" s="7">
        <v>92024</v>
      </c>
      <c r="T1718" s="3">
        <v>42013</v>
      </c>
      <c r="U1718" s="3">
        <v>42014</v>
      </c>
      <c r="V1718" s="4">
        <v>-7.25</v>
      </c>
      <c r="W1718">
        <v>1</v>
      </c>
      <c r="X1718">
        <v>11.16</v>
      </c>
      <c r="Y1718" s="7">
        <v>89071</v>
      </c>
    </row>
    <row r="1719" spans="1:25" ht="12.75" customHeight="1">
      <c r="A1719">
        <v>22065</v>
      </c>
      <c r="B1719" t="s">
        <v>47</v>
      </c>
      <c r="C1719" s="4">
        <v>0.03</v>
      </c>
      <c r="D1719" s="8">
        <v>3.98</v>
      </c>
      <c r="E1719" s="4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 s="5">
        <v>0.52</v>
      </c>
      <c r="O1719" t="s">
        <v>33</v>
      </c>
      <c r="P1719" t="s">
        <v>34</v>
      </c>
      <c r="Q1719" t="s">
        <v>45</v>
      </c>
      <c r="R1719" t="s">
        <v>2739</v>
      </c>
      <c r="S1719" s="7">
        <v>92024</v>
      </c>
      <c r="T1719" s="3">
        <v>42013</v>
      </c>
      <c r="U1719" s="3">
        <v>42014</v>
      </c>
      <c r="V1719" s="4">
        <v>31.201799999999995</v>
      </c>
      <c r="W1719">
        <v>11</v>
      </c>
      <c r="X1719">
        <v>45.22</v>
      </c>
      <c r="Y1719" s="7">
        <v>89071</v>
      </c>
    </row>
    <row r="1720" spans="1:25" ht="12.75" customHeight="1">
      <c r="A1720">
        <v>18950</v>
      </c>
      <c r="B1720" t="s">
        <v>106</v>
      </c>
      <c r="C1720" s="4">
        <v>0.01</v>
      </c>
      <c r="D1720" s="8">
        <v>4.9800000000000004</v>
      </c>
      <c r="E1720" s="4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 s="5">
        <v>0.36</v>
      </c>
      <c r="O1720" t="s">
        <v>33</v>
      </c>
      <c r="P1720" t="s">
        <v>61</v>
      </c>
      <c r="Q1720" t="s">
        <v>178</v>
      </c>
      <c r="R1720" t="s">
        <v>2743</v>
      </c>
      <c r="S1720" s="7">
        <v>60148</v>
      </c>
      <c r="T1720" s="3">
        <v>42019</v>
      </c>
      <c r="U1720" s="3">
        <v>42024</v>
      </c>
      <c r="V1720" s="4">
        <v>-75.900400000000005</v>
      </c>
      <c r="W1720">
        <v>10</v>
      </c>
      <c r="X1720">
        <v>52.93</v>
      </c>
      <c r="Y1720" s="7">
        <v>89128</v>
      </c>
    </row>
    <row r="1721" spans="1:25" ht="12.75" customHeight="1">
      <c r="A1721">
        <v>18951</v>
      </c>
      <c r="B1721" t="s">
        <v>106</v>
      </c>
      <c r="C1721" s="4">
        <v>0.04</v>
      </c>
      <c r="D1721" s="8">
        <v>6.35</v>
      </c>
      <c r="E1721" s="4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 s="5">
        <v>0.39</v>
      </c>
      <c r="O1721" t="s">
        <v>33</v>
      </c>
      <c r="P1721" t="s">
        <v>61</v>
      </c>
      <c r="Q1721" t="s">
        <v>178</v>
      </c>
      <c r="R1721" t="s">
        <v>2743</v>
      </c>
      <c r="S1721" s="7">
        <v>60148</v>
      </c>
      <c r="T1721" s="3">
        <v>42019</v>
      </c>
      <c r="U1721" s="3">
        <v>42024</v>
      </c>
      <c r="V1721" s="4">
        <v>52.170899999999996</v>
      </c>
      <c r="W1721">
        <v>12</v>
      </c>
      <c r="X1721">
        <v>75.61</v>
      </c>
      <c r="Y1721" s="7">
        <v>89128</v>
      </c>
    </row>
    <row r="1722" spans="1:25" ht="12.75" customHeight="1">
      <c r="A1722">
        <v>19849</v>
      </c>
      <c r="B1722" t="s">
        <v>37</v>
      </c>
      <c r="C1722" s="4">
        <v>0.02</v>
      </c>
      <c r="D1722" s="8">
        <v>12.99</v>
      </c>
      <c r="E1722" s="4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 s="5">
        <v>0.73</v>
      </c>
      <c r="O1722" t="s">
        <v>33</v>
      </c>
      <c r="P1722" t="s">
        <v>61</v>
      </c>
      <c r="Q1722" t="s">
        <v>2659</v>
      </c>
      <c r="R1722" t="s">
        <v>2745</v>
      </c>
      <c r="S1722" s="7">
        <v>58554</v>
      </c>
      <c r="T1722" s="3">
        <v>42020</v>
      </c>
      <c r="U1722" s="3">
        <v>42022</v>
      </c>
      <c r="V1722" s="4">
        <v>-159.86000000000001</v>
      </c>
      <c r="W1722">
        <v>5</v>
      </c>
      <c r="X1722">
        <v>67.64</v>
      </c>
      <c r="Y1722" s="7">
        <v>89129</v>
      </c>
    </row>
    <row r="1723" spans="1:25" ht="12.75" customHeight="1">
      <c r="A1723">
        <v>19850</v>
      </c>
      <c r="B1723" t="s">
        <v>37</v>
      </c>
      <c r="C1723" s="4">
        <v>0.05</v>
      </c>
      <c r="D1723" s="8">
        <v>35.44</v>
      </c>
      <c r="E1723" s="4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 s="5">
        <v>0.38</v>
      </c>
      <c r="O1723" t="s">
        <v>33</v>
      </c>
      <c r="P1723" t="s">
        <v>61</v>
      </c>
      <c r="Q1723" t="s">
        <v>2659</v>
      </c>
      <c r="R1723" t="s">
        <v>2745</v>
      </c>
      <c r="S1723" s="7">
        <v>58554</v>
      </c>
      <c r="T1723" s="3">
        <v>42020</v>
      </c>
      <c r="U1723" s="3">
        <v>42022</v>
      </c>
      <c r="V1723" s="4">
        <v>165.88979999999998</v>
      </c>
      <c r="W1723">
        <v>7</v>
      </c>
      <c r="X1723">
        <v>240.42</v>
      </c>
      <c r="Y1723" s="7">
        <v>89129</v>
      </c>
    </row>
    <row r="1724" spans="1:25" ht="12.75" customHeight="1">
      <c r="A1724">
        <v>19851</v>
      </c>
      <c r="B1724" t="s">
        <v>37</v>
      </c>
      <c r="C1724" s="4">
        <v>0.02</v>
      </c>
      <c r="D1724" s="8">
        <v>12.98</v>
      </c>
      <c r="E1724" s="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 s="5">
        <v>0.6</v>
      </c>
      <c r="O1724" t="s">
        <v>33</v>
      </c>
      <c r="P1724" t="s">
        <v>61</v>
      </c>
      <c r="Q1724" t="s">
        <v>2659</v>
      </c>
      <c r="R1724" t="s">
        <v>2745</v>
      </c>
      <c r="S1724" s="7">
        <v>58554</v>
      </c>
      <c r="T1724" s="3">
        <v>42020</v>
      </c>
      <c r="U1724" s="3">
        <v>42023</v>
      </c>
      <c r="V1724" s="4">
        <v>75.010000000000005</v>
      </c>
      <c r="W1724">
        <v>14</v>
      </c>
      <c r="X1724">
        <v>184.4</v>
      </c>
      <c r="Y1724" s="7">
        <v>89129</v>
      </c>
    </row>
    <row r="1725" spans="1:25" ht="12.75" customHeight="1">
      <c r="A1725">
        <v>22201</v>
      </c>
      <c r="B1725" t="s">
        <v>47</v>
      </c>
      <c r="C1725" s="4">
        <v>0.08</v>
      </c>
      <c r="D1725" s="8">
        <v>178.47</v>
      </c>
      <c r="E1725" s="4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 s="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 s="7">
        <v>58554</v>
      </c>
      <c r="T1725" s="3">
        <v>42076</v>
      </c>
      <c r="U1725" s="3">
        <v>42079</v>
      </c>
      <c r="V1725" s="4">
        <v>2267.2199999999998</v>
      </c>
      <c r="W1725">
        <v>22</v>
      </c>
      <c r="X1725">
        <v>3802.01</v>
      </c>
      <c r="Y1725" s="7">
        <v>89130</v>
      </c>
    </row>
    <row r="1726" spans="1:25" ht="12.75" customHeight="1">
      <c r="A1726">
        <v>19381</v>
      </c>
      <c r="B1726" t="s">
        <v>37</v>
      </c>
      <c r="C1726" s="4">
        <v>0.08</v>
      </c>
      <c r="D1726" s="8">
        <v>73.98</v>
      </c>
      <c r="E1726" s="4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 s="5">
        <v>0.77</v>
      </c>
      <c r="O1726" t="s">
        <v>33</v>
      </c>
      <c r="P1726" t="s">
        <v>61</v>
      </c>
      <c r="Q1726" t="s">
        <v>183</v>
      </c>
      <c r="R1726" t="s">
        <v>2001</v>
      </c>
      <c r="S1726" s="7">
        <v>67846</v>
      </c>
      <c r="T1726" s="3">
        <v>42139</v>
      </c>
      <c r="U1726" s="3">
        <v>42142</v>
      </c>
      <c r="V1726" s="4">
        <v>97.159999999999926</v>
      </c>
      <c r="W1726">
        <v>17</v>
      </c>
      <c r="X1726">
        <v>1181.67</v>
      </c>
      <c r="Y1726" s="7">
        <v>86102</v>
      </c>
    </row>
    <row r="1727" spans="1:25" ht="12.75" customHeight="1">
      <c r="A1727">
        <v>19382</v>
      </c>
      <c r="B1727" t="s">
        <v>37</v>
      </c>
      <c r="C1727" s="4">
        <v>0.02</v>
      </c>
      <c r="D1727" s="8">
        <v>3.68</v>
      </c>
      <c r="E1727" s="4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 s="5">
        <v>0.83</v>
      </c>
      <c r="O1727" t="s">
        <v>33</v>
      </c>
      <c r="P1727" t="s">
        <v>61</v>
      </c>
      <c r="Q1727" t="s">
        <v>183</v>
      </c>
      <c r="R1727" t="s">
        <v>2001</v>
      </c>
      <c r="S1727" s="7">
        <v>67846</v>
      </c>
      <c r="T1727" s="3">
        <v>42139</v>
      </c>
      <c r="U1727" s="3">
        <v>42141</v>
      </c>
      <c r="V1727" s="4">
        <v>-20.65</v>
      </c>
      <c r="W1727">
        <v>8</v>
      </c>
      <c r="X1727">
        <v>29.93</v>
      </c>
      <c r="Y1727" s="7">
        <v>86102</v>
      </c>
    </row>
    <row r="1728" spans="1:25" ht="12.75" customHeight="1">
      <c r="A1728">
        <v>20049</v>
      </c>
      <c r="B1728" t="s">
        <v>56</v>
      </c>
      <c r="C1728" s="4">
        <v>7.0000000000000007E-2</v>
      </c>
      <c r="D1728" s="8">
        <v>14.48</v>
      </c>
      <c r="E1728" s="4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 s="5">
        <v>0.38</v>
      </c>
      <c r="O1728" t="s">
        <v>33</v>
      </c>
      <c r="P1728" t="s">
        <v>61</v>
      </c>
      <c r="Q1728" t="s">
        <v>183</v>
      </c>
      <c r="R1728" t="s">
        <v>2750</v>
      </c>
      <c r="S1728" s="7">
        <v>67501</v>
      </c>
      <c r="T1728" s="3">
        <v>42039</v>
      </c>
      <c r="U1728" s="3">
        <v>42040</v>
      </c>
      <c r="V1728" s="4">
        <v>67.864000000000004</v>
      </c>
      <c r="W1728">
        <v>12</v>
      </c>
      <c r="X1728">
        <v>171.33</v>
      </c>
      <c r="Y1728" s="7">
        <v>86101</v>
      </c>
    </row>
    <row r="1729" spans="1:25" ht="12.75" customHeight="1">
      <c r="A1729">
        <v>21475</v>
      </c>
      <c r="B1729" t="s">
        <v>25</v>
      </c>
      <c r="C1729" s="4">
        <v>0</v>
      </c>
      <c r="D1729" s="8">
        <v>6.48</v>
      </c>
      <c r="E1729" s="4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 s="5">
        <v>0.37</v>
      </c>
      <c r="O1729" t="s">
        <v>33</v>
      </c>
      <c r="P1729" t="s">
        <v>61</v>
      </c>
      <c r="Q1729" t="s">
        <v>183</v>
      </c>
      <c r="R1729" t="s">
        <v>2753</v>
      </c>
      <c r="S1729" s="7">
        <v>66048</v>
      </c>
      <c r="T1729" s="3">
        <v>42161</v>
      </c>
      <c r="U1729" s="3">
        <v>42162</v>
      </c>
      <c r="V1729" s="4">
        <v>-14.074999999999999</v>
      </c>
      <c r="W1729">
        <v>12</v>
      </c>
      <c r="X1729">
        <v>84.04</v>
      </c>
      <c r="Y1729" s="7">
        <v>86104</v>
      </c>
    </row>
    <row r="1730" spans="1:25" ht="12.75" customHeight="1">
      <c r="A1730">
        <v>24415</v>
      </c>
      <c r="B1730" t="s">
        <v>25</v>
      </c>
      <c r="C1730" s="4">
        <v>0.05</v>
      </c>
      <c r="D1730" s="8">
        <v>120.98</v>
      </c>
      <c r="E1730" s="4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 s="5">
        <v>0.64</v>
      </c>
      <c r="O1730" t="s">
        <v>33</v>
      </c>
      <c r="P1730" t="s">
        <v>61</v>
      </c>
      <c r="Q1730" t="s">
        <v>183</v>
      </c>
      <c r="R1730" t="s">
        <v>2755</v>
      </c>
      <c r="S1730" s="7">
        <v>66209</v>
      </c>
      <c r="T1730" s="3">
        <v>42047</v>
      </c>
      <c r="U1730" s="3">
        <v>42049</v>
      </c>
      <c r="V1730" s="4">
        <v>-78.759200000000007</v>
      </c>
      <c r="W1730">
        <v>2</v>
      </c>
      <c r="X1730">
        <v>251.06</v>
      </c>
      <c r="Y1730" s="7">
        <v>86103</v>
      </c>
    </row>
    <row r="1731" spans="1:25" ht="12.75" customHeight="1">
      <c r="A1731">
        <v>23188</v>
      </c>
      <c r="B1731" t="s">
        <v>25</v>
      </c>
      <c r="C1731" s="4">
        <v>0.06</v>
      </c>
      <c r="D1731" s="8">
        <v>276.2</v>
      </c>
      <c r="E1731" s="4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 s="7">
        <v>94704</v>
      </c>
      <c r="T1731" s="3">
        <v>42068</v>
      </c>
      <c r="U1731" s="3">
        <v>42070</v>
      </c>
      <c r="V1731" s="4">
        <v>1167.3800000000001</v>
      </c>
      <c r="W1731">
        <v>10</v>
      </c>
      <c r="X1731">
        <v>2610.56</v>
      </c>
      <c r="Y1731" s="7">
        <v>89789</v>
      </c>
    </row>
    <row r="1732" spans="1:25" ht="12.75" customHeight="1">
      <c r="A1732">
        <v>25904</v>
      </c>
      <c r="B1732" t="s">
        <v>56</v>
      </c>
      <c r="C1732" s="4">
        <v>0.06</v>
      </c>
      <c r="D1732" s="8">
        <v>125.99</v>
      </c>
      <c r="E1732" s="4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 s="5">
        <v>0.6</v>
      </c>
      <c r="O1732" t="s">
        <v>33</v>
      </c>
      <c r="P1732" t="s">
        <v>136</v>
      </c>
      <c r="Q1732" t="s">
        <v>613</v>
      </c>
      <c r="R1732" t="s">
        <v>319</v>
      </c>
      <c r="S1732" s="7">
        <v>42071</v>
      </c>
      <c r="T1732" s="3">
        <v>42038</v>
      </c>
      <c r="U1732" s="3">
        <v>42040</v>
      </c>
      <c r="V1732" s="4">
        <v>402.06599999999997</v>
      </c>
      <c r="W1732">
        <v>11</v>
      </c>
      <c r="X1732">
        <v>1173.76</v>
      </c>
      <c r="Y1732" s="7">
        <v>86662</v>
      </c>
    </row>
    <row r="1733" spans="1:25" ht="12.75" customHeight="1">
      <c r="A1733">
        <v>20516</v>
      </c>
      <c r="B1733" t="s">
        <v>56</v>
      </c>
      <c r="C1733" s="4">
        <v>7.0000000000000007E-2</v>
      </c>
      <c r="D1733" s="8">
        <v>8.33</v>
      </c>
      <c r="E1733" s="4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 s="5">
        <v>0.52</v>
      </c>
      <c r="O1733" t="s">
        <v>33</v>
      </c>
      <c r="P1733" t="s">
        <v>34</v>
      </c>
      <c r="Q1733" t="s">
        <v>35</v>
      </c>
      <c r="R1733" t="s">
        <v>2760</v>
      </c>
      <c r="S1733" s="7">
        <v>98034</v>
      </c>
      <c r="T1733" s="3">
        <v>42061</v>
      </c>
      <c r="U1733" s="3">
        <v>42063</v>
      </c>
      <c r="V1733" s="4">
        <v>11.95</v>
      </c>
      <c r="W1733">
        <v>6</v>
      </c>
      <c r="X1733">
        <v>50.28</v>
      </c>
      <c r="Y1733" s="7">
        <v>88447</v>
      </c>
    </row>
    <row r="1734" spans="1:25" ht="12.75" customHeight="1">
      <c r="A1734">
        <v>20517</v>
      </c>
      <c r="B1734" t="s">
        <v>56</v>
      </c>
      <c r="C1734" s="4">
        <v>0.03</v>
      </c>
      <c r="D1734" s="8">
        <v>499.99</v>
      </c>
      <c r="E1734" s="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 s="5">
        <v>0.36</v>
      </c>
      <c r="O1734" t="s">
        <v>33</v>
      </c>
      <c r="P1734" t="s">
        <v>34</v>
      </c>
      <c r="Q1734" t="s">
        <v>35</v>
      </c>
      <c r="R1734" t="s">
        <v>2760</v>
      </c>
      <c r="S1734" s="7">
        <v>98034</v>
      </c>
      <c r="T1734" s="3">
        <v>42061</v>
      </c>
      <c r="U1734" s="3">
        <v>42062</v>
      </c>
      <c r="V1734" s="4">
        <v>1773.6104999999998</v>
      </c>
      <c r="W1734">
        <v>5</v>
      </c>
      <c r="X1734">
        <v>2570.4499999999998</v>
      </c>
      <c r="Y1734" s="7">
        <v>88447</v>
      </c>
    </row>
    <row r="1735" spans="1:25" ht="12.75" customHeight="1">
      <c r="A1735">
        <v>19652</v>
      </c>
      <c r="B1735" t="s">
        <v>37</v>
      </c>
      <c r="C1735" s="4">
        <v>0.03</v>
      </c>
      <c r="D1735" s="8">
        <v>20.99</v>
      </c>
      <c r="E1735" s="4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 s="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 s="7">
        <v>98034</v>
      </c>
      <c r="T1735" s="3">
        <v>42148</v>
      </c>
      <c r="U1735" s="3">
        <v>42150</v>
      </c>
      <c r="V1735" s="4">
        <v>4.1822000000000052</v>
      </c>
      <c r="W1735">
        <v>9</v>
      </c>
      <c r="X1735">
        <v>158.87</v>
      </c>
      <c r="Y1735" s="7">
        <v>88449</v>
      </c>
    </row>
    <row r="1736" spans="1:25" ht="12.75" customHeight="1">
      <c r="A1736">
        <v>23811</v>
      </c>
      <c r="B1736" t="s">
        <v>106</v>
      </c>
      <c r="C1736" s="4">
        <v>0.03</v>
      </c>
      <c r="D1736" s="8">
        <v>6.45</v>
      </c>
      <c r="E1736" s="4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 s="5">
        <v>0.36</v>
      </c>
      <c r="O1736" t="s">
        <v>33</v>
      </c>
      <c r="P1736" t="s">
        <v>34</v>
      </c>
      <c r="Q1736" t="s">
        <v>35</v>
      </c>
      <c r="R1736" t="s">
        <v>2764</v>
      </c>
      <c r="S1736" s="7">
        <v>98503</v>
      </c>
      <c r="T1736" s="3">
        <v>42018</v>
      </c>
      <c r="U1736" s="3">
        <v>42023</v>
      </c>
      <c r="V1736" s="4">
        <v>39.129899999999999</v>
      </c>
      <c r="W1736">
        <v>9</v>
      </c>
      <c r="X1736">
        <v>56.71</v>
      </c>
      <c r="Y1736" s="7">
        <v>88448</v>
      </c>
    </row>
    <row r="1737" spans="1:25" ht="12.75" customHeight="1">
      <c r="A1737">
        <v>25239</v>
      </c>
      <c r="B1737" t="s">
        <v>37</v>
      </c>
      <c r="C1737" s="4">
        <v>0.06</v>
      </c>
      <c r="D1737" s="8">
        <v>355.98</v>
      </c>
      <c r="E1737" s="4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 s="5">
        <v>0.64</v>
      </c>
      <c r="O1737" t="s">
        <v>33</v>
      </c>
      <c r="P1737" t="s">
        <v>53</v>
      </c>
      <c r="Q1737" t="s">
        <v>154</v>
      </c>
      <c r="R1737" t="s">
        <v>2766</v>
      </c>
      <c r="S1737" s="7">
        <v>44515</v>
      </c>
      <c r="T1737" s="3">
        <v>42065</v>
      </c>
      <c r="U1737" s="3">
        <v>42066</v>
      </c>
      <c r="V1737" s="4">
        <v>1660.92</v>
      </c>
      <c r="W1737">
        <v>14</v>
      </c>
      <c r="X1737">
        <v>5086.08</v>
      </c>
      <c r="Y1737" s="7">
        <v>91376</v>
      </c>
    </row>
    <row r="1738" spans="1:25" ht="12.75" customHeight="1">
      <c r="A1738">
        <v>21027</v>
      </c>
      <c r="B1738" t="s">
        <v>25</v>
      </c>
      <c r="C1738" s="4">
        <v>0.03</v>
      </c>
      <c r="D1738" s="8">
        <v>120.98</v>
      </c>
      <c r="E1738" s="4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 s="5">
        <v>0.64</v>
      </c>
      <c r="O1738" t="s">
        <v>33</v>
      </c>
      <c r="P1738" t="s">
        <v>61</v>
      </c>
      <c r="Q1738" t="s">
        <v>62</v>
      </c>
      <c r="R1738" t="s">
        <v>2768</v>
      </c>
      <c r="S1738" s="7">
        <v>55128</v>
      </c>
      <c r="T1738" s="3">
        <v>42156</v>
      </c>
      <c r="U1738" s="3">
        <v>42158</v>
      </c>
      <c r="V1738" s="4">
        <v>638.02800000000002</v>
      </c>
      <c r="W1738">
        <v>15</v>
      </c>
      <c r="X1738">
        <v>1894.45</v>
      </c>
      <c r="Y1738" s="7">
        <v>88191</v>
      </c>
    </row>
    <row r="1739" spans="1:25" ht="12.75" customHeight="1">
      <c r="A1739">
        <v>21028</v>
      </c>
      <c r="B1739" t="s">
        <v>25</v>
      </c>
      <c r="C1739" s="4">
        <v>0.01</v>
      </c>
      <c r="D1739" s="8">
        <v>15.68</v>
      </c>
      <c r="E1739" s="4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 s="5">
        <v>0.46</v>
      </c>
      <c r="O1739" t="s">
        <v>33</v>
      </c>
      <c r="P1739" t="s">
        <v>61</v>
      </c>
      <c r="Q1739" t="s">
        <v>62</v>
      </c>
      <c r="R1739" t="s">
        <v>2768</v>
      </c>
      <c r="S1739" s="7">
        <v>55128</v>
      </c>
      <c r="T1739" s="3">
        <v>42156</v>
      </c>
      <c r="U1739" s="3">
        <v>42158</v>
      </c>
      <c r="V1739" s="4">
        <v>138.49679999999998</v>
      </c>
      <c r="W1739">
        <v>12</v>
      </c>
      <c r="X1739">
        <v>200.72</v>
      </c>
      <c r="Y1739" s="7">
        <v>88191</v>
      </c>
    </row>
    <row r="1740" spans="1:25" ht="12.75" customHeight="1">
      <c r="A1740">
        <v>22213</v>
      </c>
      <c r="B1740" t="s">
        <v>47</v>
      </c>
      <c r="C1740" s="4">
        <v>0.09</v>
      </c>
      <c r="D1740" s="8">
        <v>1.82</v>
      </c>
      <c r="E1740" s="4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 s="5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 s="7">
        <v>55128</v>
      </c>
      <c r="T1740" s="3">
        <v>42049</v>
      </c>
      <c r="U1740" s="3">
        <v>42050</v>
      </c>
      <c r="V1740" s="4">
        <v>-6.734</v>
      </c>
      <c r="W1740">
        <v>22</v>
      </c>
      <c r="X1740">
        <v>36.82</v>
      </c>
      <c r="Y1740" s="7">
        <v>88192</v>
      </c>
    </row>
    <row r="1741" spans="1:25" ht="12.75" customHeight="1">
      <c r="A1741">
        <v>2063</v>
      </c>
      <c r="B1741" t="s">
        <v>106</v>
      </c>
      <c r="C1741" s="4">
        <v>0.06</v>
      </c>
      <c r="D1741" s="8">
        <v>19.23</v>
      </c>
      <c r="E1741" s="4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 s="5">
        <v>0.44</v>
      </c>
      <c r="O1741" t="s">
        <v>33</v>
      </c>
      <c r="P1741" t="s">
        <v>34</v>
      </c>
      <c r="Q1741" t="s">
        <v>45</v>
      </c>
      <c r="R1741" t="s">
        <v>663</v>
      </c>
      <c r="S1741" s="7">
        <v>90061</v>
      </c>
      <c r="T1741" s="3">
        <v>42063</v>
      </c>
      <c r="U1741" s="3">
        <v>42063</v>
      </c>
      <c r="V1741" s="4">
        <v>-25.38</v>
      </c>
      <c r="W1741">
        <v>4</v>
      </c>
      <c r="X1741">
        <v>84.6</v>
      </c>
      <c r="Y1741" s="7">
        <v>14756</v>
      </c>
    </row>
    <row r="1742" spans="1:25" ht="12.75" customHeight="1">
      <c r="A1742">
        <v>19739</v>
      </c>
      <c r="B1742" t="s">
        <v>56</v>
      </c>
      <c r="C1742" s="4">
        <v>0</v>
      </c>
      <c r="D1742" s="8">
        <v>137.47999999999999</v>
      </c>
      <c r="E1742" s="4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 s="5">
        <v>0.78</v>
      </c>
      <c r="O1742" t="s">
        <v>33</v>
      </c>
      <c r="P1742" t="s">
        <v>53</v>
      </c>
      <c r="Q1742" t="s">
        <v>154</v>
      </c>
      <c r="R1742" t="s">
        <v>2773</v>
      </c>
      <c r="S1742" s="7">
        <v>44224</v>
      </c>
      <c r="T1742" s="3">
        <v>42011</v>
      </c>
      <c r="U1742" s="3">
        <v>42012</v>
      </c>
      <c r="V1742" s="4">
        <v>-203.27</v>
      </c>
      <c r="W1742">
        <v>2</v>
      </c>
      <c r="X1742">
        <v>296.75</v>
      </c>
      <c r="Y1742" s="7">
        <v>88241</v>
      </c>
    </row>
    <row r="1743" spans="1:25" ht="12.75" customHeight="1">
      <c r="A1743">
        <v>23816</v>
      </c>
      <c r="B1743" t="s">
        <v>56</v>
      </c>
      <c r="C1743" s="4">
        <v>7.0000000000000007E-2</v>
      </c>
      <c r="D1743" s="8">
        <v>300.97000000000003</v>
      </c>
      <c r="E1743" s="4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 s="5">
        <v>0.48</v>
      </c>
      <c r="O1743" t="s">
        <v>33</v>
      </c>
      <c r="P1743" t="s">
        <v>53</v>
      </c>
      <c r="Q1743" t="s">
        <v>154</v>
      </c>
      <c r="R1743" t="s">
        <v>2775</v>
      </c>
      <c r="S1743" s="7">
        <v>44136</v>
      </c>
      <c r="T1743" s="3">
        <v>42131</v>
      </c>
      <c r="U1743" s="3">
        <v>42133</v>
      </c>
      <c r="V1743" s="4">
        <v>-807.59</v>
      </c>
      <c r="W1743">
        <v>2</v>
      </c>
      <c r="X1743">
        <v>582.20000000000005</v>
      </c>
      <c r="Y1743" s="7">
        <v>88239</v>
      </c>
    </row>
    <row r="1744" spans="1:25" ht="12.75" customHeight="1">
      <c r="A1744">
        <v>25489</v>
      </c>
      <c r="B1744" t="s">
        <v>37</v>
      </c>
      <c r="C1744" s="4">
        <v>0.04</v>
      </c>
      <c r="D1744" s="8">
        <v>35.44</v>
      </c>
      <c r="E1744" s="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 s="5">
        <v>0.38</v>
      </c>
      <c r="O1744" t="s">
        <v>33</v>
      </c>
      <c r="P1744" t="s">
        <v>53</v>
      </c>
      <c r="Q1744" t="s">
        <v>154</v>
      </c>
      <c r="R1744" t="s">
        <v>2778</v>
      </c>
      <c r="S1744" s="7">
        <v>43615</v>
      </c>
      <c r="T1744" s="3">
        <v>42166</v>
      </c>
      <c r="U1744" s="3">
        <v>42166</v>
      </c>
      <c r="V1744" s="4">
        <v>118.6317</v>
      </c>
      <c r="W1744">
        <v>5</v>
      </c>
      <c r="X1744">
        <v>171.93</v>
      </c>
      <c r="Y1744" s="7">
        <v>88240</v>
      </c>
    </row>
    <row r="1745" spans="1:25" ht="12.75" customHeight="1">
      <c r="A1745">
        <v>25490</v>
      </c>
      <c r="B1745" t="s">
        <v>37</v>
      </c>
      <c r="C1745" s="4">
        <v>0.08</v>
      </c>
      <c r="D1745" s="8">
        <v>3.98</v>
      </c>
      <c r="E1745" s="4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 s="5">
        <v>0.52</v>
      </c>
      <c r="O1745" t="s">
        <v>33</v>
      </c>
      <c r="P1745" t="s">
        <v>53</v>
      </c>
      <c r="Q1745" t="s">
        <v>154</v>
      </c>
      <c r="R1745" t="s">
        <v>2778</v>
      </c>
      <c r="S1745" s="7">
        <v>43615</v>
      </c>
      <c r="T1745" s="3">
        <v>42166</v>
      </c>
      <c r="U1745" s="3">
        <v>42169</v>
      </c>
      <c r="V1745" s="4">
        <v>23.304000000000002</v>
      </c>
      <c r="W1745">
        <v>9</v>
      </c>
      <c r="X1745">
        <v>35.19</v>
      </c>
      <c r="Y1745" s="7">
        <v>88240</v>
      </c>
    </row>
    <row r="1746" spans="1:25" ht="12.75" customHeight="1">
      <c r="A1746">
        <v>5816</v>
      </c>
      <c r="B1746" t="s">
        <v>56</v>
      </c>
      <c r="C1746" s="4">
        <v>7.0000000000000007E-2</v>
      </c>
      <c r="D1746" s="8">
        <v>300.97000000000003</v>
      </c>
      <c r="E1746" s="4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 s="5">
        <v>0.48</v>
      </c>
      <c r="O1746" t="s">
        <v>33</v>
      </c>
      <c r="P1746" t="s">
        <v>53</v>
      </c>
      <c r="Q1746" t="s">
        <v>234</v>
      </c>
      <c r="R1746" t="s">
        <v>1319</v>
      </c>
      <c r="S1746" s="7">
        <v>19112</v>
      </c>
      <c r="T1746" s="3">
        <v>42131</v>
      </c>
      <c r="U1746" s="3">
        <v>42133</v>
      </c>
      <c r="V1746" s="4">
        <v>-807.59</v>
      </c>
      <c r="W1746">
        <v>7</v>
      </c>
      <c r="X1746">
        <v>2037.69</v>
      </c>
      <c r="Y1746" s="7">
        <v>41253</v>
      </c>
    </row>
    <row r="1747" spans="1:25" ht="12.75" customHeight="1">
      <c r="A1747">
        <v>7489</v>
      </c>
      <c r="B1747" t="s">
        <v>37</v>
      </c>
      <c r="C1747" s="4">
        <v>0.04</v>
      </c>
      <c r="D1747" s="8">
        <v>35.44</v>
      </c>
      <c r="E1747" s="4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 s="5">
        <v>0.38</v>
      </c>
      <c r="O1747" t="s">
        <v>33</v>
      </c>
      <c r="P1747" t="s">
        <v>53</v>
      </c>
      <c r="Q1747" t="s">
        <v>234</v>
      </c>
      <c r="R1747" t="s">
        <v>1319</v>
      </c>
      <c r="S1747" s="7">
        <v>19112</v>
      </c>
      <c r="T1747" s="3">
        <v>42166</v>
      </c>
      <c r="U1747" s="3">
        <v>42166</v>
      </c>
      <c r="V1747" s="4">
        <v>150.72</v>
      </c>
      <c r="W1747">
        <v>21</v>
      </c>
      <c r="X1747">
        <v>722.1</v>
      </c>
      <c r="Y1747" s="7">
        <v>53476</v>
      </c>
    </row>
    <row r="1748" spans="1:25" ht="12.75" customHeight="1">
      <c r="A1748">
        <v>7490</v>
      </c>
      <c r="B1748" t="s">
        <v>37</v>
      </c>
      <c r="C1748" s="4">
        <v>0.08</v>
      </c>
      <c r="D1748" s="8">
        <v>3.98</v>
      </c>
      <c r="E1748" s="4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 s="5">
        <v>0.52</v>
      </c>
      <c r="O1748" t="s">
        <v>33</v>
      </c>
      <c r="P1748" t="s">
        <v>53</v>
      </c>
      <c r="Q1748" t="s">
        <v>234</v>
      </c>
      <c r="R1748" t="s">
        <v>1319</v>
      </c>
      <c r="S1748" s="7">
        <v>19112</v>
      </c>
      <c r="T1748" s="3">
        <v>42166</v>
      </c>
      <c r="U1748" s="3">
        <v>42169</v>
      </c>
      <c r="V1748" s="4">
        <v>19.420000000000002</v>
      </c>
      <c r="W1748">
        <v>36</v>
      </c>
      <c r="X1748">
        <v>140.78</v>
      </c>
      <c r="Y1748" s="7">
        <v>53476</v>
      </c>
    </row>
    <row r="1749" spans="1:25" ht="12.75" customHeight="1">
      <c r="A1749">
        <v>7491</v>
      </c>
      <c r="B1749" t="s">
        <v>37</v>
      </c>
      <c r="C1749" s="4">
        <v>0.01</v>
      </c>
      <c r="D1749" s="8">
        <v>1.76</v>
      </c>
      <c r="E1749" s="4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 s="5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 s="7">
        <v>19112</v>
      </c>
      <c r="T1749" s="3">
        <v>42166</v>
      </c>
      <c r="U1749" s="3">
        <v>42167</v>
      </c>
      <c r="V1749" s="4">
        <v>3.13</v>
      </c>
      <c r="W1749">
        <v>71</v>
      </c>
      <c r="X1749">
        <v>129.72</v>
      </c>
      <c r="Y1749" s="7">
        <v>53476</v>
      </c>
    </row>
    <row r="1750" spans="1:25" ht="12.75" customHeight="1">
      <c r="A1750">
        <v>7492</v>
      </c>
      <c r="B1750" t="s">
        <v>37</v>
      </c>
      <c r="C1750" s="4">
        <v>0.01</v>
      </c>
      <c r="D1750" s="8">
        <v>193.17</v>
      </c>
      <c r="E1750" s="4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 s="5">
        <v>0.71</v>
      </c>
      <c r="O1750" t="s">
        <v>33</v>
      </c>
      <c r="P1750" t="s">
        <v>53</v>
      </c>
      <c r="Q1750" t="s">
        <v>234</v>
      </c>
      <c r="R1750" t="s">
        <v>1319</v>
      </c>
      <c r="S1750" s="7">
        <v>19112</v>
      </c>
      <c r="T1750" s="3">
        <v>42166</v>
      </c>
      <c r="U1750" s="3">
        <v>42166</v>
      </c>
      <c r="V1750" s="4">
        <v>1141.07</v>
      </c>
      <c r="W1750">
        <v>63</v>
      </c>
      <c r="X1750">
        <v>12190.98</v>
      </c>
      <c r="Y1750" s="7">
        <v>53476</v>
      </c>
    </row>
    <row r="1751" spans="1:25" ht="12.75" customHeight="1">
      <c r="A1751">
        <v>1739</v>
      </c>
      <c r="B1751" t="s">
        <v>56</v>
      </c>
      <c r="C1751" s="4">
        <v>0</v>
      </c>
      <c r="D1751" s="8">
        <v>137.47999999999999</v>
      </c>
      <c r="E1751" s="4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 s="5">
        <v>0.78</v>
      </c>
      <c r="O1751" t="s">
        <v>33</v>
      </c>
      <c r="P1751" t="s">
        <v>53</v>
      </c>
      <c r="Q1751" t="s">
        <v>234</v>
      </c>
      <c r="R1751" t="s">
        <v>1319</v>
      </c>
      <c r="S1751" s="7">
        <v>19112</v>
      </c>
      <c r="T1751" s="3">
        <v>42011</v>
      </c>
      <c r="U1751" s="3">
        <v>42012</v>
      </c>
      <c r="V1751" s="4">
        <v>-203.27</v>
      </c>
      <c r="W1751">
        <v>10</v>
      </c>
      <c r="X1751">
        <v>1483.76</v>
      </c>
      <c r="Y1751" s="7">
        <v>12480</v>
      </c>
    </row>
    <row r="1752" spans="1:25" ht="12.75" customHeight="1">
      <c r="A1752">
        <v>6807</v>
      </c>
      <c r="B1752" t="s">
        <v>47</v>
      </c>
      <c r="C1752" s="4">
        <v>0</v>
      </c>
      <c r="D1752" s="8">
        <v>2.21</v>
      </c>
      <c r="E1752" s="4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 s="5">
        <v>0.38</v>
      </c>
      <c r="O1752" t="s">
        <v>33</v>
      </c>
      <c r="P1752" t="s">
        <v>53</v>
      </c>
      <c r="Q1752" t="s">
        <v>234</v>
      </c>
      <c r="R1752" t="s">
        <v>1319</v>
      </c>
      <c r="S1752" s="7">
        <v>19112</v>
      </c>
      <c r="T1752" s="3">
        <v>42165</v>
      </c>
      <c r="U1752" s="3">
        <v>42166</v>
      </c>
      <c r="V1752" s="4">
        <v>10.01</v>
      </c>
      <c r="W1752">
        <v>33</v>
      </c>
      <c r="X1752">
        <v>87.18</v>
      </c>
      <c r="Y1752" s="7">
        <v>48483</v>
      </c>
    </row>
    <row r="1753" spans="1:25" ht="12.75" customHeight="1">
      <c r="A1753">
        <v>19756</v>
      </c>
      <c r="B1753" t="s">
        <v>25</v>
      </c>
      <c r="C1753" s="4">
        <v>0</v>
      </c>
      <c r="D1753" s="8">
        <v>65.989999999999995</v>
      </c>
      <c r="E1753" s="4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 s="5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 s="7">
        <v>98503</v>
      </c>
      <c r="T1753" s="3">
        <v>42114</v>
      </c>
      <c r="U1753" s="3">
        <v>42116</v>
      </c>
      <c r="V1753" s="4">
        <v>313.81200000000001</v>
      </c>
      <c r="W1753">
        <v>14</v>
      </c>
      <c r="X1753">
        <v>798.89</v>
      </c>
      <c r="Y1753" s="7">
        <v>89879</v>
      </c>
    </row>
    <row r="1754" spans="1:25" ht="12.75" customHeight="1">
      <c r="A1754">
        <v>20589</v>
      </c>
      <c r="B1754" t="s">
        <v>37</v>
      </c>
      <c r="C1754" s="4">
        <v>0.01</v>
      </c>
      <c r="D1754" s="8">
        <v>7.1</v>
      </c>
      <c r="E1754" s="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 s="5">
        <v>0.39</v>
      </c>
      <c r="O1754" t="s">
        <v>33</v>
      </c>
      <c r="P1754" t="s">
        <v>34</v>
      </c>
      <c r="Q1754" t="s">
        <v>35</v>
      </c>
      <c r="R1754" t="s">
        <v>2764</v>
      </c>
      <c r="S1754" s="7">
        <v>98503</v>
      </c>
      <c r="T1754" s="3">
        <v>42179</v>
      </c>
      <c r="U1754" s="3">
        <v>42180</v>
      </c>
      <c r="V1754" s="4">
        <v>-39.186250000000001</v>
      </c>
      <c r="W1754">
        <v>18</v>
      </c>
      <c r="X1754">
        <v>133.19</v>
      </c>
      <c r="Y1754" s="7">
        <v>89880</v>
      </c>
    </row>
    <row r="1755" spans="1:25" ht="12.75" customHeight="1">
      <c r="A1755">
        <v>20590</v>
      </c>
      <c r="B1755" t="s">
        <v>37</v>
      </c>
      <c r="C1755" s="4">
        <v>0.05</v>
      </c>
      <c r="D1755" s="8">
        <v>18.97</v>
      </c>
      <c r="E1755" s="4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 s="5">
        <v>0.37</v>
      </c>
      <c r="O1755" t="s">
        <v>33</v>
      </c>
      <c r="P1755" t="s">
        <v>34</v>
      </c>
      <c r="Q1755" t="s">
        <v>35</v>
      </c>
      <c r="R1755" t="s">
        <v>2764</v>
      </c>
      <c r="S1755" s="7">
        <v>98503</v>
      </c>
      <c r="T1755" s="3">
        <v>42179</v>
      </c>
      <c r="U1755" s="3">
        <v>42180</v>
      </c>
      <c r="V1755" s="4">
        <v>-1.89</v>
      </c>
      <c r="W1755">
        <v>5</v>
      </c>
      <c r="X1755">
        <v>97.33</v>
      </c>
      <c r="Y1755" s="7">
        <v>89880</v>
      </c>
    </row>
    <row r="1756" spans="1:25" ht="12.75" customHeight="1">
      <c r="A1756">
        <v>20008</v>
      </c>
      <c r="B1756" t="s">
        <v>25</v>
      </c>
      <c r="C1756" s="4">
        <v>0.05</v>
      </c>
      <c r="D1756" s="8">
        <v>39.99</v>
      </c>
      <c r="E1756" s="4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 s="5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 s="7">
        <v>34287</v>
      </c>
      <c r="T1756" s="3">
        <v>42142</v>
      </c>
      <c r="U1756" s="3">
        <v>42143</v>
      </c>
      <c r="V1756" s="4">
        <v>4.29</v>
      </c>
      <c r="W1756">
        <v>3</v>
      </c>
      <c r="X1756">
        <v>130.91</v>
      </c>
      <c r="Y1756" s="7">
        <v>88380</v>
      </c>
    </row>
    <row r="1757" spans="1:25" ht="12.75" customHeight="1">
      <c r="A1757">
        <v>21085</v>
      </c>
      <c r="B1757" t="s">
        <v>106</v>
      </c>
      <c r="C1757" s="4">
        <v>7.0000000000000007E-2</v>
      </c>
      <c r="D1757" s="8">
        <v>49.43</v>
      </c>
      <c r="E1757" s="4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 s="5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 s="7">
        <v>66209</v>
      </c>
      <c r="T1757" s="3">
        <v>42028</v>
      </c>
      <c r="U1757" s="3">
        <v>42033</v>
      </c>
      <c r="V1757" s="4">
        <v>-122.77</v>
      </c>
      <c r="W1757">
        <v>6</v>
      </c>
      <c r="X1757">
        <v>281.82</v>
      </c>
      <c r="Y1757" s="7">
        <v>91219</v>
      </c>
    </row>
    <row r="1758" spans="1:25" ht="12.75" customHeight="1">
      <c r="A1758">
        <v>20357</v>
      </c>
      <c r="B1758" t="s">
        <v>47</v>
      </c>
      <c r="C1758" s="4">
        <v>0.09</v>
      </c>
      <c r="D1758" s="8">
        <v>207.48</v>
      </c>
      <c r="E1758" s="4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 s="5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 s="7">
        <v>45011</v>
      </c>
      <c r="T1758" s="3">
        <v>42023</v>
      </c>
      <c r="U1758" s="3">
        <v>42025</v>
      </c>
      <c r="V1758" s="4">
        <v>683.9556</v>
      </c>
      <c r="W1758">
        <v>5</v>
      </c>
      <c r="X1758">
        <v>991.24</v>
      </c>
      <c r="Y1758" s="7">
        <v>86220</v>
      </c>
    </row>
    <row r="1759" spans="1:25" ht="12.75" customHeight="1">
      <c r="A1759">
        <v>21235</v>
      </c>
      <c r="B1759" t="s">
        <v>25</v>
      </c>
      <c r="C1759" s="4">
        <v>0.08</v>
      </c>
      <c r="D1759" s="8">
        <v>40.98</v>
      </c>
      <c r="E1759" s="4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 s="5">
        <v>0.6</v>
      </c>
      <c r="O1759" t="s">
        <v>33</v>
      </c>
      <c r="P1759" t="s">
        <v>53</v>
      </c>
      <c r="Q1759" t="s">
        <v>154</v>
      </c>
      <c r="R1759" t="s">
        <v>1734</v>
      </c>
      <c r="S1759" s="7">
        <v>43026</v>
      </c>
      <c r="T1759" s="3">
        <v>42148</v>
      </c>
      <c r="U1759" s="3">
        <v>42149</v>
      </c>
      <c r="V1759" s="4">
        <v>-16.64</v>
      </c>
      <c r="W1759">
        <v>3</v>
      </c>
      <c r="X1759">
        <v>119.86</v>
      </c>
      <c r="Y1759" s="7">
        <v>86221</v>
      </c>
    </row>
    <row r="1760" spans="1:25" ht="12.75" customHeight="1">
      <c r="A1760">
        <v>21236</v>
      </c>
      <c r="B1760" t="s">
        <v>25</v>
      </c>
      <c r="C1760" s="4">
        <v>0.08</v>
      </c>
      <c r="D1760" s="8">
        <v>8.1199999999999992</v>
      </c>
      <c r="E1760" s="4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 s="5">
        <v>0.77</v>
      </c>
      <c r="O1760" t="s">
        <v>33</v>
      </c>
      <c r="P1760" t="s">
        <v>53</v>
      </c>
      <c r="Q1760" t="s">
        <v>154</v>
      </c>
      <c r="R1760" t="s">
        <v>1734</v>
      </c>
      <c r="S1760" s="7">
        <v>43026</v>
      </c>
      <c r="T1760" s="3">
        <v>42148</v>
      </c>
      <c r="U1760" s="3">
        <v>42149</v>
      </c>
      <c r="V1760" s="4">
        <v>-59.73</v>
      </c>
      <c r="W1760">
        <v>12</v>
      </c>
      <c r="X1760">
        <v>98.77</v>
      </c>
      <c r="Y1760" s="7">
        <v>86221</v>
      </c>
    </row>
    <row r="1761" spans="1:25" ht="12.75" customHeight="1">
      <c r="A1761">
        <v>21237</v>
      </c>
      <c r="B1761" t="s">
        <v>25</v>
      </c>
      <c r="C1761" s="4">
        <v>0.02</v>
      </c>
      <c r="D1761" s="8">
        <v>262.11</v>
      </c>
      <c r="E1761" s="4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 s="5">
        <v>0.75</v>
      </c>
      <c r="O1761" t="s">
        <v>33</v>
      </c>
      <c r="P1761" t="s">
        <v>53</v>
      </c>
      <c r="Q1761" t="s">
        <v>154</v>
      </c>
      <c r="R1761" t="s">
        <v>1734</v>
      </c>
      <c r="S1761" s="7">
        <v>43026</v>
      </c>
      <c r="T1761" s="3">
        <v>42148</v>
      </c>
      <c r="U1761" s="3">
        <v>42149</v>
      </c>
      <c r="V1761" s="4">
        <v>-633.44123700000023</v>
      </c>
      <c r="W1761">
        <v>9</v>
      </c>
      <c r="X1761">
        <v>2495.35</v>
      </c>
      <c r="Y1761" s="7">
        <v>86221</v>
      </c>
    </row>
    <row r="1762" spans="1:25" ht="12.75" customHeight="1">
      <c r="A1762">
        <v>25999</v>
      </c>
      <c r="B1762" t="s">
        <v>47</v>
      </c>
      <c r="C1762" s="4">
        <v>0.04</v>
      </c>
      <c r="D1762" s="8">
        <v>33.89</v>
      </c>
      <c r="E1762" s="4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 s="5">
        <v>0.6</v>
      </c>
      <c r="O1762" t="s">
        <v>33</v>
      </c>
      <c r="P1762" t="s">
        <v>53</v>
      </c>
      <c r="Q1762" t="s">
        <v>154</v>
      </c>
      <c r="R1762" t="s">
        <v>1734</v>
      </c>
      <c r="S1762" s="7">
        <v>43026</v>
      </c>
      <c r="T1762" s="3">
        <v>42172</v>
      </c>
      <c r="U1762" s="3">
        <v>42173</v>
      </c>
      <c r="V1762" s="4">
        <v>72.984000000000009</v>
      </c>
      <c r="W1762">
        <v>6</v>
      </c>
      <c r="X1762">
        <v>200.83</v>
      </c>
      <c r="Y1762" s="7">
        <v>86222</v>
      </c>
    </row>
    <row r="1763" spans="1:25" ht="12.75" customHeight="1">
      <c r="A1763">
        <v>19816</v>
      </c>
      <c r="B1763" t="s">
        <v>47</v>
      </c>
      <c r="C1763" s="4">
        <v>0.05</v>
      </c>
      <c r="D1763" s="8">
        <v>35.44</v>
      </c>
      <c r="E1763" s="4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 s="5">
        <v>0.38</v>
      </c>
      <c r="O1763" t="s">
        <v>33</v>
      </c>
      <c r="P1763" t="s">
        <v>53</v>
      </c>
      <c r="Q1763" t="s">
        <v>71</v>
      </c>
      <c r="R1763" t="s">
        <v>2794</v>
      </c>
      <c r="S1763" s="7">
        <v>11967</v>
      </c>
      <c r="T1763" s="3">
        <v>42102</v>
      </c>
      <c r="U1763" s="3">
        <v>42103</v>
      </c>
      <c r="V1763" s="4">
        <v>240.17519999999996</v>
      </c>
      <c r="W1763">
        <v>10</v>
      </c>
      <c r="X1763">
        <v>348.08</v>
      </c>
      <c r="Y1763" s="7">
        <v>89314</v>
      </c>
    </row>
    <row r="1764" spans="1:25" ht="12.75" customHeight="1">
      <c r="A1764">
        <v>22503</v>
      </c>
      <c r="B1764" t="s">
        <v>106</v>
      </c>
      <c r="C1764" s="4">
        <v>0</v>
      </c>
      <c r="D1764" s="8">
        <v>11.7</v>
      </c>
      <c r="E1764" s="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 s="5">
        <v>0.5</v>
      </c>
      <c r="O1764" t="s">
        <v>33</v>
      </c>
      <c r="P1764" t="s">
        <v>53</v>
      </c>
      <c r="Q1764" t="s">
        <v>71</v>
      </c>
      <c r="R1764" t="s">
        <v>2794</v>
      </c>
      <c r="S1764" s="7">
        <v>11967</v>
      </c>
      <c r="T1764" s="3">
        <v>42172</v>
      </c>
      <c r="U1764" s="3">
        <v>42174</v>
      </c>
      <c r="V1764" s="4">
        <v>-11.248000000000001</v>
      </c>
      <c r="W1764">
        <v>10</v>
      </c>
      <c r="X1764">
        <v>131.69</v>
      </c>
      <c r="Y1764" s="7">
        <v>89315</v>
      </c>
    </row>
    <row r="1765" spans="1:25" ht="12.75" customHeight="1">
      <c r="A1765">
        <v>18930</v>
      </c>
      <c r="B1765" t="s">
        <v>106</v>
      </c>
      <c r="C1765" s="4">
        <v>0.06</v>
      </c>
      <c r="D1765" s="8">
        <v>2.89</v>
      </c>
      <c r="E1765" s="4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 s="5">
        <v>0.38</v>
      </c>
      <c r="O1765" t="s">
        <v>33</v>
      </c>
      <c r="P1765" t="s">
        <v>53</v>
      </c>
      <c r="Q1765" t="s">
        <v>71</v>
      </c>
      <c r="R1765" t="s">
        <v>2794</v>
      </c>
      <c r="S1765" s="7">
        <v>11967</v>
      </c>
      <c r="T1765" s="3">
        <v>42063</v>
      </c>
      <c r="U1765" s="3">
        <v>42063</v>
      </c>
      <c r="V1765" s="4">
        <v>9.611699999999999</v>
      </c>
      <c r="W1765">
        <v>5</v>
      </c>
      <c r="X1765">
        <v>13.93</v>
      </c>
      <c r="Y1765" s="7">
        <v>89316</v>
      </c>
    </row>
    <row r="1766" spans="1:25" ht="12.75" customHeight="1">
      <c r="A1766">
        <v>19805</v>
      </c>
      <c r="B1766" t="s">
        <v>47</v>
      </c>
      <c r="C1766" s="4">
        <v>7.0000000000000007E-2</v>
      </c>
      <c r="D1766" s="8">
        <v>35.99</v>
      </c>
      <c r="E1766" s="4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 s="5">
        <v>0.82</v>
      </c>
      <c r="O1766" t="s">
        <v>33</v>
      </c>
      <c r="P1766" t="s">
        <v>136</v>
      </c>
      <c r="Q1766" t="s">
        <v>362</v>
      </c>
      <c r="R1766" t="s">
        <v>2796</v>
      </c>
      <c r="S1766" s="7">
        <v>33334</v>
      </c>
      <c r="T1766" s="3">
        <v>42088</v>
      </c>
      <c r="U1766" s="3">
        <v>42090</v>
      </c>
      <c r="V1766" s="4">
        <v>-299.81420000000003</v>
      </c>
      <c r="W1766">
        <v>1</v>
      </c>
      <c r="X1766">
        <v>31.71</v>
      </c>
      <c r="Y1766" s="7">
        <v>89988</v>
      </c>
    </row>
    <row r="1767" spans="1:25" ht="12.75" customHeight="1">
      <c r="A1767">
        <v>18087</v>
      </c>
      <c r="B1767" t="s">
        <v>47</v>
      </c>
      <c r="C1767" s="4">
        <v>0.04</v>
      </c>
      <c r="D1767" s="8">
        <v>3.08</v>
      </c>
      <c r="E1767" s="4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 s="5">
        <v>0.37</v>
      </c>
      <c r="O1767" t="s">
        <v>33</v>
      </c>
      <c r="P1767" t="s">
        <v>136</v>
      </c>
      <c r="Q1767" t="s">
        <v>613</v>
      </c>
      <c r="R1767" t="s">
        <v>319</v>
      </c>
      <c r="S1767" s="7">
        <v>42071</v>
      </c>
      <c r="T1767" s="3">
        <v>42083</v>
      </c>
      <c r="U1767" s="3">
        <v>42084</v>
      </c>
      <c r="V1767" s="4">
        <v>13.799999999999999</v>
      </c>
      <c r="W1767">
        <v>19</v>
      </c>
      <c r="X1767">
        <v>60.01</v>
      </c>
      <c r="Y1767" s="7">
        <v>86327</v>
      </c>
    </row>
    <row r="1768" spans="1:25" ht="12.75" customHeight="1">
      <c r="A1768">
        <v>18088</v>
      </c>
      <c r="B1768" t="s">
        <v>47</v>
      </c>
      <c r="C1768" s="4">
        <v>0.02</v>
      </c>
      <c r="D1768" s="8">
        <v>6.48</v>
      </c>
      <c r="E1768" s="4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 s="5">
        <v>0.37</v>
      </c>
      <c r="O1768" t="s">
        <v>33</v>
      </c>
      <c r="P1768" t="s">
        <v>136</v>
      </c>
      <c r="Q1768" t="s">
        <v>613</v>
      </c>
      <c r="R1768" t="s">
        <v>319</v>
      </c>
      <c r="S1768" s="7">
        <v>42071</v>
      </c>
      <c r="T1768" s="3">
        <v>42083</v>
      </c>
      <c r="U1768" s="3">
        <v>42084</v>
      </c>
      <c r="V1768" s="4">
        <v>4.3919999999999995</v>
      </c>
      <c r="W1768">
        <v>13</v>
      </c>
      <c r="X1768">
        <v>90.98</v>
      </c>
      <c r="Y1768" s="7">
        <v>86327</v>
      </c>
    </row>
    <row r="1769" spans="1:25" ht="12.75" customHeight="1">
      <c r="A1769">
        <v>18089</v>
      </c>
      <c r="B1769" t="s">
        <v>47</v>
      </c>
      <c r="C1769" s="4">
        <v>0.04</v>
      </c>
      <c r="D1769" s="8">
        <v>125.99</v>
      </c>
      <c r="E1769" s="4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 s="5">
        <v>0.59</v>
      </c>
      <c r="O1769" t="s">
        <v>33</v>
      </c>
      <c r="P1769" t="s">
        <v>136</v>
      </c>
      <c r="Q1769" t="s">
        <v>613</v>
      </c>
      <c r="R1769" t="s">
        <v>319</v>
      </c>
      <c r="S1769" s="7">
        <v>42071</v>
      </c>
      <c r="T1769" s="3">
        <v>42083</v>
      </c>
      <c r="U1769" s="3">
        <v>42085</v>
      </c>
      <c r="V1769" s="4">
        <v>-236.25</v>
      </c>
      <c r="W1769">
        <v>12</v>
      </c>
      <c r="X1769">
        <v>1270.7</v>
      </c>
      <c r="Y1769" s="7">
        <v>86327</v>
      </c>
    </row>
    <row r="1770" spans="1:25" ht="12.75" customHeight="1">
      <c r="A1770">
        <v>87</v>
      </c>
      <c r="B1770" t="s">
        <v>47</v>
      </c>
      <c r="C1770" s="4">
        <v>0.04</v>
      </c>
      <c r="D1770" s="8">
        <v>3.08</v>
      </c>
      <c r="E1770" s="4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 s="5">
        <v>0.37</v>
      </c>
      <c r="O1770" t="s">
        <v>33</v>
      </c>
      <c r="P1770" t="s">
        <v>61</v>
      </c>
      <c r="Q1770" t="s">
        <v>130</v>
      </c>
      <c r="R1770" t="s">
        <v>2164</v>
      </c>
      <c r="S1770" s="7">
        <v>77041</v>
      </c>
      <c r="T1770" s="3">
        <v>42083</v>
      </c>
      <c r="U1770" s="3">
        <v>42084</v>
      </c>
      <c r="V1770" s="4">
        <v>36.020000000000003</v>
      </c>
      <c r="W1770">
        <v>75</v>
      </c>
      <c r="X1770">
        <v>236.87</v>
      </c>
      <c r="Y1770" s="7">
        <v>548</v>
      </c>
    </row>
    <row r="1771" spans="1:25" ht="12.75" customHeight="1">
      <c r="A1771">
        <v>88</v>
      </c>
      <c r="B1771" t="s">
        <v>47</v>
      </c>
      <c r="C1771" s="4">
        <v>0.02</v>
      </c>
      <c r="D1771" s="8">
        <v>6.48</v>
      </c>
      <c r="E1771" s="4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 s="5">
        <v>0.37</v>
      </c>
      <c r="O1771" t="s">
        <v>33</v>
      </c>
      <c r="P1771" t="s">
        <v>61</v>
      </c>
      <c r="Q1771" t="s">
        <v>130</v>
      </c>
      <c r="R1771" t="s">
        <v>2164</v>
      </c>
      <c r="S1771" s="7">
        <v>77041</v>
      </c>
      <c r="T1771" s="3">
        <v>42083</v>
      </c>
      <c r="U1771" s="3">
        <v>42084</v>
      </c>
      <c r="V1771" s="4">
        <v>-50.64</v>
      </c>
      <c r="W1771">
        <v>53</v>
      </c>
      <c r="X1771">
        <v>370.91</v>
      </c>
      <c r="Y1771" s="7">
        <v>548</v>
      </c>
    </row>
    <row r="1772" spans="1:25" ht="12.75" customHeight="1">
      <c r="A1772">
        <v>89</v>
      </c>
      <c r="B1772" t="s">
        <v>47</v>
      </c>
      <c r="C1772" s="4">
        <v>0.04</v>
      </c>
      <c r="D1772" s="8">
        <v>125.99</v>
      </c>
      <c r="E1772" s="4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 s="5">
        <v>0.59</v>
      </c>
      <c r="O1772" t="s">
        <v>33</v>
      </c>
      <c r="P1772" t="s">
        <v>61</v>
      </c>
      <c r="Q1772" t="s">
        <v>130</v>
      </c>
      <c r="R1772" t="s">
        <v>2164</v>
      </c>
      <c r="S1772" s="7">
        <v>77041</v>
      </c>
      <c r="T1772" s="3">
        <v>42083</v>
      </c>
      <c r="U1772" s="3">
        <v>42085</v>
      </c>
      <c r="V1772" s="4">
        <v>510.48900000000003</v>
      </c>
      <c r="W1772">
        <v>47</v>
      </c>
      <c r="X1772">
        <v>4976.92</v>
      </c>
      <c r="Y1772" s="7">
        <v>548</v>
      </c>
    </row>
    <row r="1773" spans="1:25" ht="12.75" customHeight="1">
      <c r="A1773">
        <v>21120</v>
      </c>
      <c r="B1773" t="s">
        <v>37</v>
      </c>
      <c r="C1773" s="4">
        <v>7.0000000000000007E-2</v>
      </c>
      <c r="D1773" s="8">
        <v>34.54</v>
      </c>
      <c r="E1773" s="4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 s="5">
        <v>0.37</v>
      </c>
      <c r="O1773" t="s">
        <v>33</v>
      </c>
      <c r="P1773" t="s">
        <v>136</v>
      </c>
      <c r="Q1773" t="s">
        <v>171</v>
      </c>
      <c r="R1773" t="s">
        <v>2802</v>
      </c>
      <c r="S1773" s="7">
        <v>70560</v>
      </c>
      <c r="T1773" s="3">
        <v>42141</v>
      </c>
      <c r="U1773" s="3">
        <v>42142</v>
      </c>
      <c r="V1773" s="4">
        <v>-20.182259999999999</v>
      </c>
      <c r="W1773">
        <v>17</v>
      </c>
      <c r="X1773">
        <v>574.97</v>
      </c>
      <c r="Y1773" s="7">
        <v>86860</v>
      </c>
    </row>
    <row r="1774" spans="1:25" ht="12.75" customHeight="1">
      <c r="A1774">
        <v>21121</v>
      </c>
      <c r="B1774" t="s">
        <v>37</v>
      </c>
      <c r="C1774" s="4">
        <v>0.02</v>
      </c>
      <c r="D1774" s="8">
        <v>12.28</v>
      </c>
      <c r="E1774" s="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 s="5">
        <v>0.38</v>
      </c>
      <c r="O1774" t="s">
        <v>33</v>
      </c>
      <c r="P1774" t="s">
        <v>136</v>
      </c>
      <c r="Q1774" t="s">
        <v>171</v>
      </c>
      <c r="R1774" t="s">
        <v>2802</v>
      </c>
      <c r="S1774" s="7">
        <v>70560</v>
      </c>
      <c r="T1774" s="3">
        <v>42141</v>
      </c>
      <c r="U1774" s="3">
        <v>42141</v>
      </c>
      <c r="V1774" s="4">
        <v>-156.97220000000002</v>
      </c>
      <c r="W1774">
        <v>9</v>
      </c>
      <c r="X1774">
        <v>115.22</v>
      </c>
      <c r="Y1774" s="7">
        <v>86860</v>
      </c>
    </row>
    <row r="1775" spans="1:25" ht="12.75" customHeight="1">
      <c r="A1775">
        <v>21122</v>
      </c>
      <c r="B1775" t="s">
        <v>37</v>
      </c>
      <c r="C1775" s="4">
        <v>0.06</v>
      </c>
      <c r="D1775" s="8">
        <v>34.58</v>
      </c>
      <c r="E1775" s="4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 s="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 s="7">
        <v>70560</v>
      </c>
      <c r="T1775" s="3">
        <v>42141</v>
      </c>
      <c r="U1775" s="3">
        <v>42143</v>
      </c>
      <c r="V1775" s="4">
        <v>384.5043</v>
      </c>
      <c r="W1775">
        <v>13</v>
      </c>
      <c r="X1775">
        <v>456.58</v>
      </c>
      <c r="Y1775" s="7">
        <v>86860</v>
      </c>
    </row>
    <row r="1776" spans="1:25" ht="12.75" customHeight="1">
      <c r="A1776">
        <v>20795</v>
      </c>
      <c r="B1776" t="s">
        <v>47</v>
      </c>
      <c r="C1776" s="4">
        <v>0.08</v>
      </c>
      <c r="D1776" s="8">
        <v>349.45</v>
      </c>
      <c r="E1776" s="4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 s="7">
        <v>32839</v>
      </c>
      <c r="T1776" s="3">
        <v>42185</v>
      </c>
      <c r="U1776" s="3">
        <v>42187</v>
      </c>
      <c r="V1776" s="4">
        <v>513.08399999999995</v>
      </c>
      <c r="W1776">
        <v>11</v>
      </c>
      <c r="X1776">
        <v>3772.19</v>
      </c>
      <c r="Y1776" s="7">
        <v>86432</v>
      </c>
    </row>
    <row r="1777" spans="1:25" ht="12.75" customHeight="1">
      <c r="A1777">
        <v>25473</v>
      </c>
      <c r="B1777" t="s">
        <v>37</v>
      </c>
      <c r="C1777" s="4">
        <v>0.08</v>
      </c>
      <c r="D1777" s="8">
        <v>315.98</v>
      </c>
      <c r="E1777" s="4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 s="5">
        <v>0.38</v>
      </c>
      <c r="O1777" t="s">
        <v>33</v>
      </c>
      <c r="P1777" t="s">
        <v>136</v>
      </c>
      <c r="Q1777" t="s">
        <v>171</v>
      </c>
      <c r="R1777" t="s">
        <v>2808</v>
      </c>
      <c r="S1777" s="7">
        <v>70117</v>
      </c>
      <c r="T1777" s="3">
        <v>42169</v>
      </c>
      <c r="U1777" s="3">
        <v>42169</v>
      </c>
      <c r="V1777" s="4">
        <v>44.519999999999996</v>
      </c>
      <c r="W1777">
        <v>9</v>
      </c>
      <c r="X1777">
        <v>2642.48</v>
      </c>
      <c r="Y1777" s="7">
        <v>90160</v>
      </c>
    </row>
    <row r="1778" spans="1:25" ht="12.75" customHeight="1">
      <c r="A1778">
        <v>23764</v>
      </c>
      <c r="B1778" t="s">
        <v>106</v>
      </c>
      <c r="C1778" s="4">
        <v>0.02</v>
      </c>
      <c r="D1778" s="8">
        <v>7.1</v>
      </c>
      <c r="E1778" s="4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 s="5">
        <v>0.39</v>
      </c>
      <c r="O1778" t="s">
        <v>33</v>
      </c>
      <c r="P1778" t="s">
        <v>61</v>
      </c>
      <c r="Q1778" t="s">
        <v>178</v>
      </c>
      <c r="R1778" t="s">
        <v>2810</v>
      </c>
      <c r="S1778" s="7">
        <v>60160</v>
      </c>
      <c r="T1778" s="3">
        <v>42011</v>
      </c>
      <c r="U1778" s="3">
        <v>42013</v>
      </c>
      <c r="V1778" s="4">
        <v>-48.875</v>
      </c>
      <c r="W1778">
        <v>8</v>
      </c>
      <c r="X1778">
        <v>61.5</v>
      </c>
      <c r="Y1778" s="7">
        <v>87287</v>
      </c>
    </row>
    <row r="1779" spans="1:25" ht="12.75" customHeight="1">
      <c r="A1779">
        <v>25060</v>
      </c>
      <c r="B1779" t="s">
        <v>37</v>
      </c>
      <c r="C1779" s="4">
        <v>0.05</v>
      </c>
      <c r="D1779" s="8">
        <v>120.98</v>
      </c>
      <c r="E1779" s="4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 s="5">
        <v>0.35</v>
      </c>
      <c r="O1779" t="s">
        <v>33</v>
      </c>
      <c r="P1779" t="s">
        <v>61</v>
      </c>
      <c r="Q1779" t="s">
        <v>178</v>
      </c>
      <c r="R1779" t="s">
        <v>2812</v>
      </c>
      <c r="S1779" s="7">
        <v>61265</v>
      </c>
      <c r="T1779" s="3">
        <v>42154</v>
      </c>
      <c r="U1779" s="3">
        <v>42155</v>
      </c>
      <c r="V1779" s="4">
        <v>881.04719999999998</v>
      </c>
      <c r="W1779">
        <v>11</v>
      </c>
      <c r="X1779">
        <v>1276.8800000000001</v>
      </c>
      <c r="Y1779" s="7">
        <v>87286</v>
      </c>
    </row>
    <row r="1780" spans="1:25" ht="12.75" customHeight="1">
      <c r="A1780">
        <v>25352</v>
      </c>
      <c r="B1780" t="s">
        <v>25</v>
      </c>
      <c r="C1780" s="4">
        <v>0.08</v>
      </c>
      <c r="D1780" s="8">
        <v>120.97</v>
      </c>
      <c r="E1780" s="4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 s="5">
        <v>0.38</v>
      </c>
      <c r="O1780" t="s">
        <v>33</v>
      </c>
      <c r="P1780" t="s">
        <v>61</v>
      </c>
      <c r="Q1780" t="s">
        <v>178</v>
      </c>
      <c r="R1780" t="s">
        <v>2815</v>
      </c>
      <c r="S1780" s="7">
        <v>60056</v>
      </c>
      <c r="T1780" s="3">
        <v>42009</v>
      </c>
      <c r="U1780" s="3">
        <v>42011</v>
      </c>
      <c r="V1780" s="4">
        <v>-233.840688</v>
      </c>
      <c r="W1780">
        <v>2</v>
      </c>
      <c r="X1780">
        <v>233.58</v>
      </c>
      <c r="Y1780" s="7">
        <v>87285</v>
      </c>
    </row>
    <row r="1781" spans="1:25" ht="12.75" customHeight="1">
      <c r="A1781">
        <v>24457</v>
      </c>
      <c r="B1781" t="s">
        <v>106</v>
      </c>
      <c r="C1781" s="4">
        <v>0.08</v>
      </c>
      <c r="D1781" s="8">
        <v>3.69</v>
      </c>
      <c r="E1781" s="4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 s="5">
        <v>0.39</v>
      </c>
      <c r="O1781" t="s">
        <v>33</v>
      </c>
      <c r="P1781" t="s">
        <v>136</v>
      </c>
      <c r="Q1781" t="s">
        <v>171</v>
      </c>
      <c r="R1781" t="s">
        <v>2817</v>
      </c>
      <c r="S1781" s="7">
        <v>71109</v>
      </c>
      <c r="T1781" s="3">
        <v>42180</v>
      </c>
      <c r="U1781" s="3">
        <v>42185</v>
      </c>
      <c r="V1781" s="4">
        <v>-139.07600000000002</v>
      </c>
      <c r="W1781">
        <v>9</v>
      </c>
      <c r="X1781">
        <v>31.98</v>
      </c>
      <c r="Y1781" s="7">
        <v>89810</v>
      </c>
    </row>
    <row r="1782" spans="1:25" ht="12.75" customHeight="1">
      <c r="A1782">
        <v>20483</v>
      </c>
      <c r="B1782" t="s">
        <v>25</v>
      </c>
      <c r="C1782" s="4">
        <v>0.1</v>
      </c>
      <c r="D1782" s="8">
        <v>180.98</v>
      </c>
      <c r="E1782" s="4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 s="5">
        <v>0.59</v>
      </c>
      <c r="O1782" t="s">
        <v>33</v>
      </c>
      <c r="P1782" t="s">
        <v>61</v>
      </c>
      <c r="Q1782" t="s">
        <v>178</v>
      </c>
      <c r="R1782" t="s">
        <v>2819</v>
      </c>
      <c r="S1782" s="7">
        <v>60060</v>
      </c>
      <c r="T1782" s="3">
        <v>42177</v>
      </c>
      <c r="U1782" s="3">
        <v>42178</v>
      </c>
      <c r="V1782" s="4">
        <v>-64.664000000000001</v>
      </c>
      <c r="W1782">
        <v>3</v>
      </c>
      <c r="X1782">
        <v>519.41999999999996</v>
      </c>
      <c r="Y1782" s="7">
        <v>86790</v>
      </c>
    </row>
    <row r="1783" spans="1:25" ht="12.75" customHeight="1">
      <c r="A1783">
        <v>19258</v>
      </c>
      <c r="B1783" t="s">
        <v>56</v>
      </c>
      <c r="C1783" s="4">
        <v>0.04</v>
      </c>
      <c r="D1783" s="8">
        <v>62.05</v>
      </c>
      <c r="E1783" s="4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 s="5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 s="7">
        <v>60060</v>
      </c>
      <c r="T1783" s="3">
        <v>42141</v>
      </c>
      <c r="U1783" s="3">
        <v>42142</v>
      </c>
      <c r="V1783" s="4">
        <v>1644.0767999999998</v>
      </c>
      <c r="W1783">
        <v>40</v>
      </c>
      <c r="X1783">
        <v>2382.7199999999998</v>
      </c>
      <c r="Y1783" s="7">
        <v>86794</v>
      </c>
    </row>
    <row r="1784" spans="1:25" ht="12.75" customHeight="1">
      <c r="A1784">
        <v>22459</v>
      </c>
      <c r="B1784" t="s">
        <v>56</v>
      </c>
      <c r="C1784" s="4">
        <v>0.1</v>
      </c>
      <c r="D1784" s="8">
        <v>5.81</v>
      </c>
      <c r="E1784" s="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 s="5">
        <v>0.39</v>
      </c>
      <c r="O1784" t="s">
        <v>33</v>
      </c>
      <c r="P1784" t="s">
        <v>61</v>
      </c>
      <c r="Q1784" t="s">
        <v>178</v>
      </c>
      <c r="R1784" t="s">
        <v>2822</v>
      </c>
      <c r="S1784" s="7">
        <v>60540</v>
      </c>
      <c r="T1784" s="3">
        <v>42020</v>
      </c>
      <c r="U1784" s="3">
        <v>42021</v>
      </c>
      <c r="V1784" s="4">
        <v>-350.43950000000001</v>
      </c>
      <c r="W1784">
        <v>12</v>
      </c>
      <c r="X1784">
        <v>64.959999999999994</v>
      </c>
      <c r="Y1784" s="7">
        <v>86789</v>
      </c>
    </row>
    <row r="1785" spans="1:25" ht="12.75" customHeight="1">
      <c r="A1785">
        <v>22460</v>
      </c>
      <c r="B1785" t="s">
        <v>56</v>
      </c>
      <c r="C1785" s="4">
        <v>0.03</v>
      </c>
      <c r="D1785" s="8">
        <v>1.81</v>
      </c>
      <c r="E1785" s="4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 s="5">
        <v>0.52</v>
      </c>
      <c r="O1785" t="s">
        <v>33</v>
      </c>
      <c r="P1785" t="s">
        <v>61</v>
      </c>
      <c r="Q1785" t="s">
        <v>178</v>
      </c>
      <c r="R1785" t="s">
        <v>2822</v>
      </c>
      <c r="S1785" s="7">
        <v>60540</v>
      </c>
      <c r="T1785" s="3">
        <v>42020</v>
      </c>
      <c r="U1785" s="3">
        <v>42021</v>
      </c>
      <c r="V1785" s="4">
        <v>4.2027999999999999</v>
      </c>
      <c r="W1785">
        <v>10</v>
      </c>
      <c r="X1785">
        <v>19.14</v>
      </c>
      <c r="Y1785" s="7">
        <v>86789</v>
      </c>
    </row>
    <row r="1786" spans="1:25" ht="12.75" customHeight="1">
      <c r="A1786">
        <v>21719</v>
      </c>
      <c r="B1786" t="s">
        <v>47</v>
      </c>
      <c r="C1786" s="4">
        <v>0.08</v>
      </c>
      <c r="D1786" s="8">
        <v>5.4</v>
      </c>
      <c r="E1786" s="4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 s="5">
        <v>0.37</v>
      </c>
      <c r="O1786" t="s">
        <v>33</v>
      </c>
      <c r="P1786" t="s">
        <v>61</v>
      </c>
      <c r="Q1786" t="s">
        <v>178</v>
      </c>
      <c r="R1786" t="s">
        <v>2822</v>
      </c>
      <c r="S1786" s="7">
        <v>60540</v>
      </c>
      <c r="T1786" s="3">
        <v>42067</v>
      </c>
      <c r="U1786" s="3">
        <v>42067</v>
      </c>
      <c r="V1786" s="4">
        <v>-44.067999999999998</v>
      </c>
      <c r="W1786">
        <v>4</v>
      </c>
      <c r="X1786">
        <v>25.35</v>
      </c>
      <c r="Y1786" s="7">
        <v>86792</v>
      </c>
    </row>
    <row r="1787" spans="1:25" ht="12.75" customHeight="1">
      <c r="A1787">
        <v>21720</v>
      </c>
      <c r="B1787" t="s">
        <v>47</v>
      </c>
      <c r="C1787" s="4">
        <v>0.09</v>
      </c>
      <c r="D1787" s="8">
        <v>8.4600000000000009</v>
      </c>
      <c r="E1787" s="4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 s="5">
        <v>0.79</v>
      </c>
      <c r="O1787" t="s">
        <v>33</v>
      </c>
      <c r="P1787" t="s">
        <v>61</v>
      </c>
      <c r="Q1787" t="s">
        <v>178</v>
      </c>
      <c r="R1787" t="s">
        <v>2822</v>
      </c>
      <c r="S1787" s="7">
        <v>60540</v>
      </c>
      <c r="T1787" s="3">
        <v>42067</v>
      </c>
      <c r="U1787" s="3">
        <v>42070</v>
      </c>
      <c r="V1787" s="4">
        <v>-100.51</v>
      </c>
      <c r="W1787">
        <v>5</v>
      </c>
      <c r="X1787">
        <v>45.03</v>
      </c>
      <c r="Y1787" s="7">
        <v>86792</v>
      </c>
    </row>
    <row r="1788" spans="1:25" ht="12.75" customHeight="1">
      <c r="A1788">
        <v>21721</v>
      </c>
      <c r="B1788" t="s">
        <v>47</v>
      </c>
      <c r="C1788" s="4">
        <v>0.21</v>
      </c>
      <c r="D1788" s="8">
        <v>14.98</v>
      </c>
      <c r="E1788" s="4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 s="5">
        <v>0.39</v>
      </c>
      <c r="O1788" t="s">
        <v>33</v>
      </c>
      <c r="P1788" t="s">
        <v>61</v>
      </c>
      <c r="Q1788" t="s">
        <v>178</v>
      </c>
      <c r="R1788" t="s">
        <v>2822</v>
      </c>
      <c r="S1788" s="7">
        <v>60540</v>
      </c>
      <c r="T1788" s="3">
        <v>42067</v>
      </c>
      <c r="U1788" s="3">
        <v>42068</v>
      </c>
      <c r="V1788" s="4">
        <v>-17.75</v>
      </c>
      <c r="W1788">
        <v>10</v>
      </c>
      <c r="X1788">
        <v>153.87</v>
      </c>
      <c r="Y1788" s="7">
        <v>86792</v>
      </c>
    </row>
    <row r="1789" spans="1:25" ht="12.75" customHeight="1">
      <c r="A1789">
        <v>21722</v>
      </c>
      <c r="B1789" t="s">
        <v>47</v>
      </c>
      <c r="C1789" s="4">
        <v>0.04</v>
      </c>
      <c r="D1789" s="8">
        <v>155.99</v>
      </c>
      <c r="E1789" s="4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 s="5">
        <v>0.6</v>
      </c>
      <c r="O1789" t="s">
        <v>33</v>
      </c>
      <c r="P1789" t="s">
        <v>61</v>
      </c>
      <c r="Q1789" t="s">
        <v>178</v>
      </c>
      <c r="R1789" t="s">
        <v>2822</v>
      </c>
      <c r="S1789" s="7">
        <v>60540</v>
      </c>
      <c r="T1789" s="3">
        <v>42067</v>
      </c>
      <c r="U1789" s="3">
        <v>42068</v>
      </c>
      <c r="V1789" s="4">
        <v>1374.9480000000001</v>
      </c>
      <c r="W1789">
        <v>22</v>
      </c>
      <c r="X1789">
        <v>2800.33</v>
      </c>
      <c r="Y1789" s="7">
        <v>86792</v>
      </c>
    </row>
    <row r="1790" spans="1:25" ht="12.75" customHeight="1">
      <c r="A1790">
        <v>23898</v>
      </c>
      <c r="B1790" t="s">
        <v>47</v>
      </c>
      <c r="C1790" s="4">
        <v>0.03</v>
      </c>
      <c r="D1790" s="8">
        <v>150.88999999999999</v>
      </c>
      <c r="E1790" s="4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 s="5">
        <v>0.77</v>
      </c>
      <c r="O1790" t="s">
        <v>33</v>
      </c>
      <c r="P1790" t="s">
        <v>53</v>
      </c>
      <c r="Q1790" t="s">
        <v>188</v>
      </c>
      <c r="R1790" t="s">
        <v>433</v>
      </c>
      <c r="S1790" s="7">
        <v>4073</v>
      </c>
      <c r="T1790" s="3">
        <v>42057</v>
      </c>
      <c r="U1790" s="3">
        <v>42057</v>
      </c>
      <c r="V1790" s="4">
        <v>-677.87199999999996</v>
      </c>
      <c r="W1790">
        <v>23</v>
      </c>
      <c r="X1790">
        <v>3596.03</v>
      </c>
      <c r="Y1790" s="7">
        <v>86791</v>
      </c>
    </row>
    <row r="1791" spans="1:25" ht="12.75" customHeight="1">
      <c r="A1791">
        <v>24691</v>
      </c>
      <c r="B1791" t="s">
        <v>37</v>
      </c>
      <c r="C1791" s="4">
        <v>0.09</v>
      </c>
      <c r="D1791" s="8">
        <v>304.99</v>
      </c>
      <c r="E1791" s="4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 s="5">
        <v>0.4</v>
      </c>
      <c r="O1791" t="s">
        <v>33</v>
      </c>
      <c r="P1791" t="s">
        <v>53</v>
      </c>
      <c r="Q1791" t="s">
        <v>197</v>
      </c>
      <c r="R1791" t="s">
        <v>2828</v>
      </c>
      <c r="S1791" s="7">
        <v>3246</v>
      </c>
      <c r="T1791" s="3">
        <v>42163</v>
      </c>
      <c r="U1791" s="3">
        <v>42164</v>
      </c>
      <c r="V1791" s="4">
        <v>1623.9494999999999</v>
      </c>
      <c r="W1791">
        <v>8</v>
      </c>
      <c r="X1791">
        <v>2353.5500000000002</v>
      </c>
      <c r="Y1791" s="7">
        <v>86795</v>
      </c>
    </row>
    <row r="1792" spans="1:25" ht="12.75" customHeight="1">
      <c r="A1792">
        <v>23706</v>
      </c>
      <c r="B1792" t="s">
        <v>37</v>
      </c>
      <c r="C1792" s="4">
        <v>0.05</v>
      </c>
      <c r="D1792" s="8">
        <v>4.0599999999999996</v>
      </c>
      <c r="E1792" s="4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 s="5">
        <v>0.6</v>
      </c>
      <c r="O1792" t="s">
        <v>33</v>
      </c>
      <c r="P1792" t="s">
        <v>53</v>
      </c>
      <c r="Q1792" t="s">
        <v>197</v>
      </c>
      <c r="R1792" t="s">
        <v>2830</v>
      </c>
      <c r="S1792" s="7">
        <v>3053</v>
      </c>
      <c r="T1792" s="3">
        <v>42174</v>
      </c>
      <c r="U1792" s="3">
        <v>42176</v>
      </c>
      <c r="V1792" s="4">
        <v>-122.83499999999999</v>
      </c>
      <c r="W1792">
        <v>22</v>
      </c>
      <c r="X1792">
        <v>92.57</v>
      </c>
      <c r="Y1792" s="7">
        <v>86796</v>
      </c>
    </row>
    <row r="1793" spans="1:25" ht="12.75" customHeight="1">
      <c r="A1793">
        <v>23427</v>
      </c>
      <c r="B1793" t="s">
        <v>47</v>
      </c>
      <c r="C1793" s="4">
        <v>0.09</v>
      </c>
      <c r="D1793" s="8">
        <v>280.98</v>
      </c>
      <c r="E1793" s="4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 s="5">
        <v>0.78</v>
      </c>
      <c r="O1793" t="s">
        <v>33</v>
      </c>
      <c r="P1793" t="s">
        <v>53</v>
      </c>
      <c r="Q1793" t="s">
        <v>54</v>
      </c>
      <c r="R1793" t="s">
        <v>868</v>
      </c>
      <c r="S1793" s="7">
        <v>7016</v>
      </c>
      <c r="T1793" s="3">
        <v>42126</v>
      </c>
      <c r="U1793" s="3">
        <v>42129</v>
      </c>
      <c r="V1793" s="4">
        <v>252.48800000000028</v>
      </c>
      <c r="W1793">
        <v>31</v>
      </c>
      <c r="X1793">
        <v>7974.21</v>
      </c>
      <c r="Y1793" s="7">
        <v>86793</v>
      </c>
    </row>
    <row r="1794" spans="1:25" ht="12.75" customHeight="1">
      <c r="A1794">
        <v>18917</v>
      </c>
      <c r="B1794" t="s">
        <v>106</v>
      </c>
      <c r="C1794" s="4">
        <v>0.09</v>
      </c>
      <c r="D1794" s="8">
        <v>6.84</v>
      </c>
      <c r="E1794" s="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 s="5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 s="7">
        <v>77506</v>
      </c>
      <c r="T1794" s="3">
        <v>42156</v>
      </c>
      <c r="U1794" s="3">
        <v>42163</v>
      </c>
      <c r="V1794" s="4">
        <v>-88.584999999999994</v>
      </c>
      <c r="W1794">
        <v>13</v>
      </c>
      <c r="X1794">
        <v>87.1</v>
      </c>
      <c r="Y1794" s="7">
        <v>86369</v>
      </c>
    </row>
    <row r="1795" spans="1:25" ht="12.75" customHeight="1">
      <c r="A1795">
        <v>18918</v>
      </c>
      <c r="B1795" t="s">
        <v>106</v>
      </c>
      <c r="C1795" s="4">
        <v>7.0000000000000007E-2</v>
      </c>
      <c r="D1795" s="8">
        <v>48.91</v>
      </c>
      <c r="E1795" s="4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 s="5">
        <v>0.83</v>
      </c>
      <c r="O1795" t="s">
        <v>33</v>
      </c>
      <c r="P1795" t="s">
        <v>61</v>
      </c>
      <c r="Q1795" t="s">
        <v>130</v>
      </c>
      <c r="R1795" t="s">
        <v>2073</v>
      </c>
      <c r="S1795" s="7">
        <v>77506</v>
      </c>
      <c r="T1795" s="3">
        <v>42156</v>
      </c>
      <c r="U1795" s="3">
        <v>42158</v>
      </c>
      <c r="V1795" s="4">
        <v>-485.68</v>
      </c>
      <c r="W1795">
        <v>15</v>
      </c>
      <c r="X1795">
        <v>736.86</v>
      </c>
      <c r="Y1795" s="7">
        <v>86369</v>
      </c>
    </row>
    <row r="1796" spans="1:25" ht="12.75" customHeight="1">
      <c r="A1796">
        <v>26039</v>
      </c>
      <c r="B1796" t="s">
        <v>56</v>
      </c>
      <c r="C1796" s="4">
        <v>0.02</v>
      </c>
      <c r="D1796" s="8">
        <v>15.42</v>
      </c>
      <c r="E1796" s="4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 s="5">
        <v>0.59</v>
      </c>
      <c r="O1796" t="s">
        <v>33</v>
      </c>
      <c r="P1796" t="s">
        <v>61</v>
      </c>
      <c r="Q1796" t="s">
        <v>130</v>
      </c>
      <c r="R1796" t="s">
        <v>2835</v>
      </c>
      <c r="S1796" s="7">
        <v>78660</v>
      </c>
      <c r="T1796" s="3">
        <v>42087</v>
      </c>
      <c r="U1796" s="3">
        <v>42088</v>
      </c>
      <c r="V1796" s="4">
        <v>-16.37</v>
      </c>
      <c r="W1796">
        <v>2</v>
      </c>
      <c r="X1796">
        <v>33.840000000000003</v>
      </c>
      <c r="Y1796" s="7">
        <v>86368</v>
      </c>
    </row>
    <row r="1797" spans="1:25" ht="12.75" customHeight="1">
      <c r="A1797">
        <v>19193</v>
      </c>
      <c r="B1797" t="s">
        <v>47</v>
      </c>
      <c r="C1797" s="4">
        <v>0.03</v>
      </c>
      <c r="D1797" s="8">
        <v>3.36</v>
      </c>
      <c r="E1797" s="4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 s="5">
        <v>0.4</v>
      </c>
      <c r="O1797" t="s">
        <v>33</v>
      </c>
      <c r="P1797" t="s">
        <v>61</v>
      </c>
      <c r="Q1797" t="s">
        <v>130</v>
      </c>
      <c r="R1797" t="s">
        <v>2837</v>
      </c>
      <c r="S1797" s="7">
        <v>78577</v>
      </c>
      <c r="T1797" s="3">
        <v>42008</v>
      </c>
      <c r="U1797" s="3">
        <v>42009</v>
      </c>
      <c r="V1797" s="4">
        <v>-94.258600000000001</v>
      </c>
      <c r="W1797">
        <v>4</v>
      </c>
      <c r="X1797">
        <v>14.9</v>
      </c>
      <c r="Y1797" s="7">
        <v>85850</v>
      </c>
    </row>
    <row r="1798" spans="1:25" ht="12.75" customHeight="1">
      <c r="A1798">
        <v>19194</v>
      </c>
      <c r="B1798" t="s">
        <v>47</v>
      </c>
      <c r="C1798" s="4">
        <v>7.0000000000000007E-2</v>
      </c>
      <c r="D1798" s="8">
        <v>3.71</v>
      </c>
      <c r="E1798" s="4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 s="5">
        <v>0.35</v>
      </c>
      <c r="O1798" t="s">
        <v>33</v>
      </c>
      <c r="P1798" t="s">
        <v>61</v>
      </c>
      <c r="Q1798" t="s">
        <v>130</v>
      </c>
      <c r="R1798" t="s">
        <v>2837</v>
      </c>
      <c r="S1798" s="7">
        <v>78577</v>
      </c>
      <c r="T1798" s="3">
        <v>42008</v>
      </c>
      <c r="U1798" s="3">
        <v>42010</v>
      </c>
      <c r="V1798" s="4">
        <v>6.3308</v>
      </c>
      <c r="W1798">
        <v>11</v>
      </c>
      <c r="X1798">
        <v>39.64</v>
      </c>
      <c r="Y1798" s="7">
        <v>85850</v>
      </c>
    </row>
    <row r="1799" spans="1:25" ht="12.75" customHeight="1">
      <c r="A1799">
        <v>24200</v>
      </c>
      <c r="B1799" t="s">
        <v>56</v>
      </c>
      <c r="C1799" s="4">
        <v>0.06</v>
      </c>
      <c r="D1799" s="8">
        <v>19.989999999999998</v>
      </c>
      <c r="E1799" s="4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 s="5">
        <v>0.6</v>
      </c>
      <c r="O1799" t="s">
        <v>33</v>
      </c>
      <c r="P1799" t="s">
        <v>34</v>
      </c>
      <c r="Q1799" t="s">
        <v>1741</v>
      </c>
      <c r="R1799" t="s">
        <v>2840</v>
      </c>
      <c r="S1799" s="7">
        <v>83854</v>
      </c>
      <c r="T1799" s="3">
        <v>42018</v>
      </c>
      <c r="U1799" s="3">
        <v>42018</v>
      </c>
      <c r="V1799" s="4">
        <v>-66.823599999999999</v>
      </c>
      <c r="W1799">
        <v>7</v>
      </c>
      <c r="X1799">
        <v>139.49</v>
      </c>
      <c r="Y1799" s="7">
        <v>89716</v>
      </c>
    </row>
    <row r="1800" spans="1:25" ht="12.75" customHeight="1">
      <c r="A1800">
        <v>24202</v>
      </c>
      <c r="B1800" t="s">
        <v>56</v>
      </c>
      <c r="C1800" s="4">
        <v>0.06</v>
      </c>
      <c r="D1800" s="8">
        <v>320.98</v>
      </c>
      <c r="E1800" s="4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 s="5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 s="7">
        <v>83440</v>
      </c>
      <c r="T1800" s="3">
        <v>42018</v>
      </c>
      <c r="U1800" s="3">
        <v>42020</v>
      </c>
      <c r="V1800" s="4">
        <v>971.62200000000007</v>
      </c>
      <c r="W1800">
        <v>6</v>
      </c>
      <c r="X1800">
        <v>1952.43</v>
      </c>
      <c r="Y1800" s="7">
        <v>89716</v>
      </c>
    </row>
    <row r="1801" spans="1:25" ht="12.75" customHeight="1">
      <c r="A1801">
        <v>19625</v>
      </c>
      <c r="B1801" t="s">
        <v>37</v>
      </c>
      <c r="C1801" s="4">
        <v>0.01</v>
      </c>
      <c r="D1801" s="8">
        <v>145.97999999999999</v>
      </c>
      <c r="E1801" s="4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 s="5">
        <v>0.69</v>
      </c>
      <c r="O1801" t="s">
        <v>33</v>
      </c>
      <c r="P1801" t="s">
        <v>34</v>
      </c>
      <c r="Q1801" t="s">
        <v>45</v>
      </c>
      <c r="R1801" t="s">
        <v>2846</v>
      </c>
      <c r="S1801" s="7">
        <v>92277</v>
      </c>
      <c r="T1801" s="3">
        <v>42158</v>
      </c>
      <c r="U1801" s="3">
        <v>42158</v>
      </c>
      <c r="V1801" s="4">
        <v>-134.512</v>
      </c>
      <c r="W1801">
        <v>9</v>
      </c>
      <c r="X1801">
        <v>1370.79</v>
      </c>
      <c r="Y1801" s="7">
        <v>88543</v>
      </c>
    </row>
    <row r="1802" spans="1:25" ht="12.75" customHeight="1">
      <c r="A1802">
        <v>19618</v>
      </c>
      <c r="B1802" t="s">
        <v>47</v>
      </c>
      <c r="C1802" s="4">
        <v>0.01</v>
      </c>
      <c r="D1802" s="8">
        <v>3502.14</v>
      </c>
      <c r="E1802" s="4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 s="5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 s="7">
        <v>92277</v>
      </c>
      <c r="T1802" s="3">
        <v>42039</v>
      </c>
      <c r="U1802" s="3">
        <v>42040</v>
      </c>
      <c r="V1802" s="4">
        <v>-4075.9339920000002</v>
      </c>
      <c r="W1802">
        <v>1</v>
      </c>
      <c r="X1802">
        <v>3501.79</v>
      </c>
      <c r="Y1802" s="7">
        <v>88544</v>
      </c>
    </row>
    <row r="1803" spans="1:25" ht="12.75" customHeight="1">
      <c r="A1803">
        <v>19619</v>
      </c>
      <c r="B1803" t="s">
        <v>47</v>
      </c>
      <c r="C1803" s="4">
        <v>0.06</v>
      </c>
      <c r="D1803" s="8">
        <v>15.73</v>
      </c>
      <c r="E1803" s="4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 s="5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 s="7">
        <v>92277</v>
      </c>
      <c r="T1803" s="3">
        <v>42039</v>
      </c>
      <c r="U1803" s="3">
        <v>42040</v>
      </c>
      <c r="V1803" s="4">
        <v>-18.558799999999998</v>
      </c>
      <c r="W1803">
        <v>4</v>
      </c>
      <c r="X1803">
        <v>63.04</v>
      </c>
      <c r="Y1803" s="7">
        <v>88544</v>
      </c>
    </row>
    <row r="1804" spans="1:25" ht="12.75" customHeight="1">
      <c r="A1804">
        <v>23322</v>
      </c>
      <c r="B1804" t="s">
        <v>37</v>
      </c>
      <c r="C1804" s="4">
        <v>0.05</v>
      </c>
      <c r="D1804" s="8">
        <v>25.99</v>
      </c>
      <c r="E1804" s="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 s="5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 s="7">
        <v>92277</v>
      </c>
      <c r="T1804" s="3">
        <v>42051</v>
      </c>
      <c r="U1804" s="3">
        <v>42053</v>
      </c>
      <c r="V1804" s="4">
        <v>220.35719999999998</v>
      </c>
      <c r="W1804">
        <v>18</v>
      </c>
      <c r="X1804">
        <v>451.35</v>
      </c>
      <c r="Y1804" s="7">
        <v>88545</v>
      </c>
    </row>
    <row r="1805" spans="1:25" ht="12.75" customHeight="1">
      <c r="A1805">
        <v>24723</v>
      </c>
      <c r="B1805" t="s">
        <v>56</v>
      </c>
      <c r="C1805" s="4">
        <v>0.04</v>
      </c>
      <c r="D1805" s="8">
        <v>17.239999999999998</v>
      </c>
      <c r="E1805" s="4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 s="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 s="7">
        <v>92277</v>
      </c>
      <c r="T1805" s="3">
        <v>42063</v>
      </c>
      <c r="U1805" s="3">
        <v>42063</v>
      </c>
      <c r="V1805" s="4">
        <v>47.73</v>
      </c>
      <c r="W1805">
        <v>7</v>
      </c>
      <c r="X1805">
        <v>119.6</v>
      </c>
      <c r="Y1805" s="7">
        <v>88546</v>
      </c>
    </row>
    <row r="1806" spans="1:25" ht="12.75" customHeight="1">
      <c r="A1806">
        <v>24329</v>
      </c>
      <c r="B1806" t="s">
        <v>56</v>
      </c>
      <c r="C1806" s="4">
        <v>0.02</v>
      </c>
      <c r="D1806" s="8">
        <v>5.98</v>
      </c>
      <c r="E1806" s="4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 s="5">
        <v>0.39</v>
      </c>
      <c r="O1806" t="s">
        <v>33</v>
      </c>
      <c r="P1806" t="s">
        <v>34</v>
      </c>
      <c r="Q1806" t="s">
        <v>45</v>
      </c>
      <c r="R1806" t="s">
        <v>2846</v>
      </c>
      <c r="S1806" s="7">
        <v>92277</v>
      </c>
      <c r="T1806" s="3">
        <v>42074</v>
      </c>
      <c r="U1806" s="3">
        <v>42075</v>
      </c>
      <c r="V1806" s="4">
        <v>28.526000000000003</v>
      </c>
      <c r="W1806">
        <v>10</v>
      </c>
      <c r="X1806">
        <v>59.9</v>
      </c>
      <c r="Y1806" s="7">
        <v>88547</v>
      </c>
    </row>
    <row r="1807" spans="1:25" ht="12.75" customHeight="1">
      <c r="A1807">
        <v>21734</v>
      </c>
      <c r="B1807" t="s">
        <v>25</v>
      </c>
      <c r="C1807" s="4">
        <v>0.01</v>
      </c>
      <c r="D1807" s="8">
        <v>99.23</v>
      </c>
      <c r="E1807" s="4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 s="5">
        <v>0.35</v>
      </c>
      <c r="O1807" t="s">
        <v>33</v>
      </c>
      <c r="P1807" t="s">
        <v>34</v>
      </c>
      <c r="Q1807" t="s">
        <v>45</v>
      </c>
      <c r="R1807" t="s">
        <v>2846</v>
      </c>
      <c r="S1807" s="7">
        <v>92277</v>
      </c>
      <c r="T1807" s="3">
        <v>42092</v>
      </c>
      <c r="U1807" s="3">
        <v>42096</v>
      </c>
      <c r="V1807" s="4">
        <v>-87.46</v>
      </c>
      <c r="W1807">
        <v>1</v>
      </c>
      <c r="X1807">
        <v>99.22</v>
      </c>
      <c r="Y1807" s="7">
        <v>88548</v>
      </c>
    </row>
    <row r="1808" spans="1:25" ht="12.75" customHeight="1">
      <c r="A1808">
        <v>21436</v>
      </c>
      <c r="B1808" t="s">
        <v>25</v>
      </c>
      <c r="C1808" s="4">
        <v>0.08</v>
      </c>
      <c r="D1808" s="8">
        <v>150.97999999999999</v>
      </c>
      <c r="E1808" s="4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 s="5">
        <v>0.38</v>
      </c>
      <c r="O1808" t="s">
        <v>33</v>
      </c>
      <c r="P1808" t="s">
        <v>136</v>
      </c>
      <c r="Q1808" t="s">
        <v>362</v>
      </c>
      <c r="R1808" t="s">
        <v>2849</v>
      </c>
      <c r="S1808" s="7">
        <v>33710</v>
      </c>
      <c r="T1808" s="3">
        <v>42030</v>
      </c>
      <c r="U1808" s="3">
        <v>42031</v>
      </c>
      <c r="V1808" s="4">
        <v>-3.9479999999999995</v>
      </c>
      <c r="W1808">
        <v>8</v>
      </c>
      <c r="X1808">
        <v>1183.82</v>
      </c>
      <c r="Y1808" s="7">
        <v>86899</v>
      </c>
    </row>
    <row r="1809" spans="1:25" ht="12.75" customHeight="1">
      <c r="A1809">
        <v>20253</v>
      </c>
      <c r="B1809" t="s">
        <v>47</v>
      </c>
      <c r="C1809" s="4">
        <v>0.03</v>
      </c>
      <c r="D1809" s="8">
        <v>17.7</v>
      </c>
      <c r="E1809" s="4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 s="5">
        <v>0.59</v>
      </c>
      <c r="O1809" t="s">
        <v>33</v>
      </c>
      <c r="P1809" t="s">
        <v>136</v>
      </c>
      <c r="Q1809" t="s">
        <v>362</v>
      </c>
      <c r="R1809" t="s">
        <v>2849</v>
      </c>
      <c r="S1809" s="7">
        <v>33710</v>
      </c>
      <c r="T1809" s="3">
        <v>42152</v>
      </c>
      <c r="U1809" s="3">
        <v>42154</v>
      </c>
      <c r="V1809" s="4">
        <v>28.182599999999997</v>
      </c>
      <c r="W1809">
        <v>11</v>
      </c>
      <c r="X1809">
        <v>201.77</v>
      </c>
      <c r="Y1809" s="7">
        <v>86900</v>
      </c>
    </row>
    <row r="1810" spans="1:25" ht="12.75" customHeight="1">
      <c r="A1810">
        <v>18635</v>
      </c>
      <c r="B1810" t="s">
        <v>47</v>
      </c>
      <c r="C1810" s="4">
        <v>0.04</v>
      </c>
      <c r="D1810" s="8">
        <v>21.38</v>
      </c>
      <c r="E1810" s="4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 s="5">
        <v>0.59</v>
      </c>
      <c r="O1810" t="s">
        <v>33</v>
      </c>
      <c r="P1810" t="s">
        <v>136</v>
      </c>
      <c r="Q1810" t="s">
        <v>362</v>
      </c>
      <c r="R1810" t="s">
        <v>2849</v>
      </c>
      <c r="S1810" s="7">
        <v>33710</v>
      </c>
      <c r="T1810" s="3">
        <v>42093</v>
      </c>
      <c r="U1810" s="3">
        <v>42093</v>
      </c>
      <c r="V1810" s="4">
        <v>-51.66</v>
      </c>
      <c r="W1810">
        <v>21</v>
      </c>
      <c r="X1810">
        <v>443.66</v>
      </c>
      <c r="Y1810" s="7">
        <v>86901</v>
      </c>
    </row>
    <row r="1811" spans="1:25" ht="12.75" customHeight="1">
      <c r="A1811">
        <v>23392</v>
      </c>
      <c r="B1811" t="s">
        <v>47</v>
      </c>
      <c r="C1811" s="4">
        <v>0.02</v>
      </c>
      <c r="D1811" s="8">
        <v>60.22</v>
      </c>
      <c r="E1811" s="4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 s="5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 s="7">
        <v>32771</v>
      </c>
      <c r="T1811" s="3">
        <v>42024</v>
      </c>
      <c r="U1811" s="3">
        <v>42025</v>
      </c>
      <c r="V1811" s="4">
        <v>-193.91399999999999</v>
      </c>
      <c r="W1811">
        <v>9</v>
      </c>
      <c r="X1811">
        <v>541.76</v>
      </c>
      <c r="Y1811" s="7">
        <v>86898</v>
      </c>
    </row>
    <row r="1812" spans="1:25" ht="12.75" customHeight="1">
      <c r="A1812">
        <v>21437</v>
      </c>
      <c r="B1812" t="s">
        <v>25</v>
      </c>
      <c r="C1812" s="4">
        <v>0.03</v>
      </c>
      <c r="D1812" s="8">
        <v>25.98</v>
      </c>
      <c r="E1812" s="4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 s="5">
        <v>0.6</v>
      </c>
      <c r="O1812" t="s">
        <v>33</v>
      </c>
      <c r="P1812" t="s">
        <v>136</v>
      </c>
      <c r="Q1812" t="s">
        <v>362</v>
      </c>
      <c r="R1812" t="s">
        <v>433</v>
      </c>
      <c r="S1812" s="7">
        <v>32771</v>
      </c>
      <c r="T1812" s="3">
        <v>42030</v>
      </c>
      <c r="U1812" s="3">
        <v>42031</v>
      </c>
      <c r="V1812" s="4">
        <v>57.545999999999999</v>
      </c>
      <c r="W1812">
        <v>4</v>
      </c>
      <c r="X1812">
        <v>107.66</v>
      </c>
      <c r="Y1812" s="7">
        <v>86899</v>
      </c>
    </row>
    <row r="1813" spans="1:25" ht="12.75" customHeight="1">
      <c r="A1813">
        <v>21438</v>
      </c>
      <c r="B1813" t="s">
        <v>25</v>
      </c>
      <c r="C1813" s="4">
        <v>0.1</v>
      </c>
      <c r="D1813" s="8">
        <v>32.479999999999997</v>
      </c>
      <c r="E1813" s="4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 s="5">
        <v>0.81</v>
      </c>
      <c r="O1813" t="s">
        <v>33</v>
      </c>
      <c r="P1813" t="s">
        <v>136</v>
      </c>
      <c r="Q1813" t="s">
        <v>362</v>
      </c>
      <c r="R1813" t="s">
        <v>433</v>
      </c>
      <c r="S1813" s="7">
        <v>32771</v>
      </c>
      <c r="T1813" s="3">
        <v>42030</v>
      </c>
      <c r="U1813" s="3">
        <v>42031</v>
      </c>
      <c r="V1813" s="4">
        <v>-333.42540000000002</v>
      </c>
      <c r="W1813">
        <v>10</v>
      </c>
      <c r="X1813">
        <v>318.83</v>
      </c>
      <c r="Y1813" s="7">
        <v>86899</v>
      </c>
    </row>
    <row r="1814" spans="1:25" ht="12.75" customHeight="1">
      <c r="A1814">
        <v>22015</v>
      </c>
      <c r="B1814" t="s">
        <v>47</v>
      </c>
      <c r="C1814" s="4">
        <v>0.05</v>
      </c>
      <c r="D1814" s="8">
        <v>159.99</v>
      </c>
      <c r="E1814" s="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 s="5">
        <v>0.49</v>
      </c>
      <c r="O1814" t="s">
        <v>33</v>
      </c>
      <c r="P1814" t="s">
        <v>136</v>
      </c>
      <c r="Q1814" t="s">
        <v>362</v>
      </c>
      <c r="R1814" t="s">
        <v>433</v>
      </c>
      <c r="S1814" s="7">
        <v>32771</v>
      </c>
      <c r="T1814" s="3">
        <v>42113</v>
      </c>
      <c r="U1814" s="3">
        <v>42115</v>
      </c>
      <c r="V1814" s="4">
        <v>12.264000000000001</v>
      </c>
      <c r="W1814">
        <v>23</v>
      </c>
      <c r="X1814">
        <v>3600.65</v>
      </c>
      <c r="Y1814" s="7">
        <v>86902</v>
      </c>
    </row>
    <row r="1815" spans="1:25" ht="12.75" customHeight="1">
      <c r="A1815">
        <v>19374</v>
      </c>
      <c r="B1815" t="s">
        <v>37</v>
      </c>
      <c r="C1815" s="4">
        <v>7.0000000000000007E-2</v>
      </c>
      <c r="D1815" s="8">
        <v>280.98</v>
      </c>
      <c r="E1815" s="4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 s="5">
        <v>0.78</v>
      </c>
      <c r="O1815" t="s">
        <v>33</v>
      </c>
      <c r="P1815" t="s">
        <v>136</v>
      </c>
      <c r="Q1815" t="s">
        <v>362</v>
      </c>
      <c r="R1815" t="s">
        <v>2854</v>
      </c>
      <c r="S1815" s="7">
        <v>32004</v>
      </c>
      <c r="T1815" s="3">
        <v>42174</v>
      </c>
      <c r="U1815" s="3">
        <v>42175</v>
      </c>
      <c r="V1815" s="4">
        <v>-283.9914</v>
      </c>
      <c r="W1815">
        <v>14</v>
      </c>
      <c r="X1815">
        <v>3936.61</v>
      </c>
      <c r="Y1815" s="7">
        <v>86491</v>
      </c>
    </row>
    <row r="1816" spans="1:25" ht="12.75" customHeight="1">
      <c r="A1816">
        <v>19375</v>
      </c>
      <c r="B1816" t="s">
        <v>37</v>
      </c>
      <c r="C1816" s="4">
        <v>0</v>
      </c>
      <c r="D1816" s="8">
        <v>4.9800000000000004</v>
      </c>
      <c r="E1816" s="4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 s="5">
        <v>0.36</v>
      </c>
      <c r="O1816" t="s">
        <v>33</v>
      </c>
      <c r="P1816" t="s">
        <v>136</v>
      </c>
      <c r="Q1816" t="s">
        <v>362</v>
      </c>
      <c r="R1816" t="s">
        <v>2854</v>
      </c>
      <c r="S1816" s="7">
        <v>32004</v>
      </c>
      <c r="T1816" s="3">
        <v>42174</v>
      </c>
      <c r="U1816" s="3">
        <v>42176</v>
      </c>
      <c r="V1816" s="4">
        <v>-195.34200000000001</v>
      </c>
      <c r="W1816">
        <v>15</v>
      </c>
      <c r="X1816">
        <v>78.31</v>
      </c>
      <c r="Y1816" s="7">
        <v>86491</v>
      </c>
    </row>
    <row r="1817" spans="1:25" ht="12.75" customHeight="1">
      <c r="A1817">
        <v>19376</v>
      </c>
      <c r="B1817" t="s">
        <v>37</v>
      </c>
      <c r="C1817" s="4">
        <v>0.1</v>
      </c>
      <c r="D1817" s="8">
        <v>3.98</v>
      </c>
      <c r="E1817" s="4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 s="5">
        <v>0.51</v>
      </c>
      <c r="O1817" t="s">
        <v>33</v>
      </c>
      <c r="P1817" t="s">
        <v>136</v>
      </c>
      <c r="Q1817" t="s">
        <v>362</v>
      </c>
      <c r="R1817" t="s">
        <v>2854</v>
      </c>
      <c r="S1817" s="7">
        <v>32004</v>
      </c>
      <c r="T1817" s="3">
        <v>42174</v>
      </c>
      <c r="U1817" s="3">
        <v>42176</v>
      </c>
      <c r="V1817" s="4">
        <v>-89.70920000000001</v>
      </c>
      <c r="W1817">
        <v>11</v>
      </c>
      <c r="X1817">
        <v>42.46</v>
      </c>
      <c r="Y1817" s="7">
        <v>86491</v>
      </c>
    </row>
    <row r="1818" spans="1:25" ht="12.75" customHeight="1">
      <c r="A1818">
        <v>25683</v>
      </c>
      <c r="B1818" t="s">
        <v>47</v>
      </c>
      <c r="C1818" s="4">
        <v>0.08</v>
      </c>
      <c r="D1818" s="8">
        <v>7.28</v>
      </c>
      <c r="E1818" s="4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 s="5">
        <v>0.37</v>
      </c>
      <c r="O1818" t="s">
        <v>33</v>
      </c>
      <c r="P1818" t="s">
        <v>136</v>
      </c>
      <c r="Q1818" t="s">
        <v>362</v>
      </c>
      <c r="R1818" t="s">
        <v>2856</v>
      </c>
      <c r="S1818" s="7">
        <v>32127</v>
      </c>
      <c r="T1818" s="3">
        <v>42107</v>
      </c>
      <c r="U1818" s="3">
        <v>42108</v>
      </c>
      <c r="V1818" s="4">
        <v>-44.415000000000006</v>
      </c>
      <c r="W1818">
        <v>1</v>
      </c>
      <c r="X1818">
        <v>14.66</v>
      </c>
      <c r="Y1818" s="7">
        <v>86490</v>
      </c>
    </row>
    <row r="1819" spans="1:25" ht="12.75" customHeight="1">
      <c r="A1819">
        <v>26055</v>
      </c>
      <c r="B1819" t="s">
        <v>56</v>
      </c>
      <c r="C1819" s="4">
        <v>0.1</v>
      </c>
      <c r="D1819" s="8">
        <v>7.28</v>
      </c>
      <c r="E1819" s="4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 s="5">
        <v>0.35</v>
      </c>
      <c r="O1819" t="s">
        <v>33</v>
      </c>
      <c r="P1819" t="s">
        <v>136</v>
      </c>
      <c r="Q1819" t="s">
        <v>362</v>
      </c>
      <c r="R1819" t="s">
        <v>2859</v>
      </c>
      <c r="S1819" s="7">
        <v>34952</v>
      </c>
      <c r="T1819" s="3">
        <v>42048</v>
      </c>
      <c r="U1819" s="3">
        <v>42048</v>
      </c>
      <c r="V1819" s="4">
        <v>167.334</v>
      </c>
      <c r="W1819">
        <v>12</v>
      </c>
      <c r="X1819">
        <v>83.14</v>
      </c>
      <c r="Y1819" s="7">
        <v>86489</v>
      </c>
    </row>
    <row r="1820" spans="1:25" ht="12.75" customHeight="1">
      <c r="A1820">
        <v>21961</v>
      </c>
      <c r="B1820" t="s">
        <v>25</v>
      </c>
      <c r="C1820" s="4">
        <v>0.06</v>
      </c>
      <c r="D1820" s="8">
        <v>10.97</v>
      </c>
      <c r="E1820" s="4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 s="5">
        <v>0.64</v>
      </c>
      <c r="O1820" t="s">
        <v>33</v>
      </c>
      <c r="P1820" t="s">
        <v>136</v>
      </c>
      <c r="Q1820" t="s">
        <v>362</v>
      </c>
      <c r="R1820" t="s">
        <v>2862</v>
      </c>
      <c r="S1820" s="7">
        <v>32216</v>
      </c>
      <c r="T1820" s="3">
        <v>42128</v>
      </c>
      <c r="U1820" s="3">
        <v>42130</v>
      </c>
      <c r="V1820" s="4">
        <v>65.597999999999999</v>
      </c>
      <c r="W1820">
        <v>19</v>
      </c>
      <c r="X1820">
        <v>215.25</v>
      </c>
      <c r="Y1820" s="7">
        <v>90820</v>
      </c>
    </row>
    <row r="1821" spans="1:25" ht="12.75" customHeight="1">
      <c r="A1821">
        <v>20964</v>
      </c>
      <c r="B1821" t="s">
        <v>106</v>
      </c>
      <c r="C1821" s="4">
        <v>0.02</v>
      </c>
      <c r="D1821" s="8">
        <v>58.14</v>
      </c>
      <c r="E1821" s="4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 s="5">
        <v>0.61</v>
      </c>
      <c r="O1821" t="s">
        <v>33</v>
      </c>
      <c r="P1821" t="s">
        <v>136</v>
      </c>
      <c r="Q1821" t="s">
        <v>362</v>
      </c>
      <c r="R1821" t="s">
        <v>2862</v>
      </c>
      <c r="S1821" s="7">
        <v>32216</v>
      </c>
      <c r="T1821" s="3">
        <v>42180</v>
      </c>
      <c r="U1821" s="3">
        <v>42186</v>
      </c>
      <c r="V1821" s="4">
        <v>0.25800000000000001</v>
      </c>
      <c r="W1821">
        <v>22</v>
      </c>
      <c r="X1821">
        <v>1358.02</v>
      </c>
      <c r="Y1821" s="7">
        <v>90821</v>
      </c>
    </row>
    <row r="1822" spans="1:25" ht="12.75" customHeight="1">
      <c r="A1822">
        <v>20965</v>
      </c>
      <c r="B1822" t="s">
        <v>106</v>
      </c>
      <c r="C1822" s="4">
        <v>0.03</v>
      </c>
      <c r="D1822" s="8">
        <v>15.57</v>
      </c>
      <c r="E1822" s="4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 s="5">
        <v>0.38</v>
      </c>
      <c r="O1822" t="s">
        <v>33</v>
      </c>
      <c r="P1822" t="s">
        <v>136</v>
      </c>
      <c r="Q1822" t="s">
        <v>362</v>
      </c>
      <c r="R1822" t="s">
        <v>2862</v>
      </c>
      <c r="S1822" s="7">
        <v>32216</v>
      </c>
      <c r="T1822" s="3">
        <v>42180</v>
      </c>
      <c r="U1822" s="3">
        <v>42186</v>
      </c>
      <c r="V1822" s="4">
        <v>63.222000000000001</v>
      </c>
      <c r="W1822">
        <v>22</v>
      </c>
      <c r="X1822">
        <v>358.84</v>
      </c>
      <c r="Y1822" s="7">
        <v>90821</v>
      </c>
    </row>
    <row r="1823" spans="1:25" ht="12.75" customHeight="1">
      <c r="A1823">
        <v>24493</v>
      </c>
      <c r="B1823" t="s">
        <v>37</v>
      </c>
      <c r="C1823" s="4">
        <v>0.1</v>
      </c>
      <c r="D1823" s="8">
        <v>62.18</v>
      </c>
      <c r="E1823" s="4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 s="5">
        <v>0.63</v>
      </c>
      <c r="O1823" t="s">
        <v>33</v>
      </c>
      <c r="P1823" t="s">
        <v>136</v>
      </c>
      <c r="Q1823" t="s">
        <v>362</v>
      </c>
      <c r="R1823" t="s">
        <v>2864</v>
      </c>
      <c r="S1823" s="7">
        <v>33458</v>
      </c>
      <c r="T1823" s="3">
        <v>42077</v>
      </c>
      <c r="U1823" s="3">
        <v>42079</v>
      </c>
      <c r="V1823" s="4">
        <v>-29.666000000000004</v>
      </c>
      <c r="W1823">
        <v>9</v>
      </c>
      <c r="X1823">
        <v>511.57</v>
      </c>
      <c r="Y1823" s="7">
        <v>90818</v>
      </c>
    </row>
    <row r="1824" spans="1:25" ht="12.75" customHeight="1">
      <c r="A1824">
        <v>22086</v>
      </c>
      <c r="B1824" t="s">
        <v>47</v>
      </c>
      <c r="C1824" s="4">
        <v>0.06</v>
      </c>
      <c r="D1824" s="8">
        <v>1.68</v>
      </c>
      <c r="E1824" s="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 s="5">
        <v>0.35</v>
      </c>
      <c r="O1824" t="s">
        <v>33</v>
      </c>
      <c r="P1824" t="s">
        <v>136</v>
      </c>
      <c r="Q1824" t="s">
        <v>362</v>
      </c>
      <c r="R1824" t="s">
        <v>2864</v>
      </c>
      <c r="S1824" s="7">
        <v>33458</v>
      </c>
      <c r="T1824" s="3">
        <v>42094</v>
      </c>
      <c r="U1824" s="3">
        <v>42096</v>
      </c>
      <c r="V1824" s="4">
        <v>-1319.5</v>
      </c>
      <c r="W1824">
        <v>5</v>
      </c>
      <c r="X1824">
        <v>8.65</v>
      </c>
      <c r="Y1824" s="7">
        <v>90819</v>
      </c>
    </row>
    <row r="1825" spans="1:25" ht="12.75" customHeight="1">
      <c r="A1825">
        <v>21554</v>
      </c>
      <c r="B1825" t="s">
        <v>106</v>
      </c>
      <c r="C1825" s="4">
        <v>7.0000000000000007E-2</v>
      </c>
      <c r="D1825" s="8">
        <v>35.44</v>
      </c>
      <c r="E1825" s="4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 s="5">
        <v>0.38</v>
      </c>
      <c r="O1825" t="s">
        <v>33</v>
      </c>
      <c r="P1825" t="s">
        <v>61</v>
      </c>
      <c r="Q1825" t="s">
        <v>62</v>
      </c>
      <c r="R1825" t="s">
        <v>2866</v>
      </c>
      <c r="S1825" s="7">
        <v>55060</v>
      </c>
      <c r="T1825" s="3">
        <v>42167</v>
      </c>
      <c r="U1825" s="3">
        <v>42174</v>
      </c>
      <c r="V1825" s="4">
        <v>262.2</v>
      </c>
      <c r="W1825">
        <v>11</v>
      </c>
      <c r="X1825">
        <v>380</v>
      </c>
      <c r="Y1825" s="7">
        <v>86989</v>
      </c>
    </row>
    <row r="1826" spans="1:25" ht="12.75" customHeight="1">
      <c r="A1826">
        <v>24464</v>
      </c>
      <c r="B1826" t="s">
        <v>25</v>
      </c>
      <c r="C1826" s="4">
        <v>0.08</v>
      </c>
      <c r="D1826" s="8">
        <v>170.98</v>
      </c>
      <c r="E1826" s="4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 s="5">
        <v>0.66</v>
      </c>
      <c r="O1826" t="s">
        <v>33</v>
      </c>
      <c r="P1826" t="s">
        <v>136</v>
      </c>
      <c r="Q1826" t="s">
        <v>362</v>
      </c>
      <c r="R1826" t="s">
        <v>2868</v>
      </c>
      <c r="S1826" s="7">
        <v>33569</v>
      </c>
      <c r="T1826" s="3">
        <v>42065</v>
      </c>
      <c r="U1826" s="3">
        <v>42067</v>
      </c>
      <c r="V1826" s="4">
        <v>-119.812</v>
      </c>
      <c r="W1826">
        <v>1</v>
      </c>
      <c r="X1826">
        <v>199.48</v>
      </c>
      <c r="Y1826" s="7">
        <v>89025</v>
      </c>
    </row>
    <row r="1827" spans="1:25" ht="12.75" customHeight="1">
      <c r="A1827">
        <v>20127</v>
      </c>
      <c r="B1827" t="s">
        <v>47</v>
      </c>
      <c r="C1827" s="4">
        <v>0.01</v>
      </c>
      <c r="D1827" s="8">
        <v>20.99</v>
      </c>
      <c r="E1827" s="4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 s="5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 s="7">
        <v>54481</v>
      </c>
      <c r="T1827" s="3">
        <v>42081</v>
      </c>
      <c r="U1827" s="3">
        <v>42081</v>
      </c>
      <c r="V1827" s="4">
        <v>-9.1079999999999988</v>
      </c>
      <c r="W1827">
        <v>5</v>
      </c>
      <c r="X1827">
        <v>93.81</v>
      </c>
      <c r="Y1827" s="7">
        <v>86447</v>
      </c>
    </row>
    <row r="1828" spans="1:25" ht="12.75" customHeight="1">
      <c r="A1828">
        <v>20303</v>
      </c>
      <c r="B1828" t="s">
        <v>25</v>
      </c>
      <c r="C1828" s="4">
        <v>0.09</v>
      </c>
      <c r="D1828" s="8">
        <v>35.94</v>
      </c>
      <c r="E1828" s="4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 s="5">
        <v>0.4</v>
      </c>
      <c r="O1828" t="s">
        <v>33</v>
      </c>
      <c r="P1828" t="s">
        <v>61</v>
      </c>
      <c r="Q1828" t="s">
        <v>1858</v>
      </c>
      <c r="R1828" t="s">
        <v>2870</v>
      </c>
      <c r="S1828" s="7">
        <v>54481</v>
      </c>
      <c r="T1828" s="3">
        <v>42104</v>
      </c>
      <c r="U1828" s="3">
        <v>42106</v>
      </c>
      <c r="V1828" s="4">
        <v>172.56439999999998</v>
      </c>
      <c r="W1828">
        <v>9</v>
      </c>
      <c r="X1828">
        <v>312.22000000000003</v>
      </c>
      <c r="Y1828" s="7">
        <v>86448</v>
      </c>
    </row>
    <row r="1829" spans="1:25" ht="12.75" customHeight="1">
      <c r="A1829">
        <v>22846</v>
      </c>
      <c r="B1829" t="s">
        <v>56</v>
      </c>
      <c r="C1829" s="4">
        <v>0.1</v>
      </c>
      <c r="D1829" s="8">
        <v>4.9800000000000004</v>
      </c>
      <c r="E1829" s="4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 s="5">
        <v>0.38</v>
      </c>
      <c r="O1829" t="s">
        <v>33</v>
      </c>
      <c r="P1829" t="s">
        <v>136</v>
      </c>
      <c r="Q1829" t="s">
        <v>362</v>
      </c>
      <c r="R1829" t="s">
        <v>951</v>
      </c>
      <c r="S1829" s="7">
        <v>34609</v>
      </c>
      <c r="T1829" s="3">
        <v>42073</v>
      </c>
      <c r="U1829" s="3">
        <v>42074</v>
      </c>
      <c r="V1829" s="4">
        <v>45.077999999999996</v>
      </c>
      <c r="W1829">
        <v>9</v>
      </c>
      <c r="X1829">
        <v>43.84</v>
      </c>
      <c r="Y1829" s="7">
        <v>89805</v>
      </c>
    </row>
    <row r="1830" spans="1:25" ht="12.75" customHeight="1">
      <c r="A1830">
        <v>22847</v>
      </c>
      <c r="B1830" t="s">
        <v>56</v>
      </c>
      <c r="C1830" s="4">
        <v>0</v>
      </c>
      <c r="D1830" s="8">
        <v>22.84</v>
      </c>
      <c r="E1830" s="4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 s="5">
        <v>0.39</v>
      </c>
      <c r="O1830" t="s">
        <v>33</v>
      </c>
      <c r="P1830" t="s">
        <v>136</v>
      </c>
      <c r="Q1830" t="s">
        <v>362</v>
      </c>
      <c r="R1830" t="s">
        <v>951</v>
      </c>
      <c r="S1830" s="7">
        <v>34609</v>
      </c>
      <c r="T1830" s="3">
        <v>42073</v>
      </c>
      <c r="U1830" s="3">
        <v>42075</v>
      </c>
      <c r="V1830" s="4">
        <v>-110.376</v>
      </c>
      <c r="W1830">
        <v>6</v>
      </c>
      <c r="X1830">
        <v>141.74</v>
      </c>
      <c r="Y1830" s="7">
        <v>89805</v>
      </c>
    </row>
    <row r="1831" spans="1:25" ht="12.75" customHeight="1">
      <c r="A1831">
        <v>3406</v>
      </c>
      <c r="B1831" t="s">
        <v>37</v>
      </c>
      <c r="C1831" s="4">
        <v>0.03</v>
      </c>
      <c r="D1831" s="8">
        <v>200.97</v>
      </c>
      <c r="E1831" s="4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 s="5">
        <v>0.36</v>
      </c>
      <c r="O1831" t="s">
        <v>33</v>
      </c>
      <c r="P1831" t="s">
        <v>34</v>
      </c>
      <c r="Q1831" t="s">
        <v>45</v>
      </c>
      <c r="R1831" t="s">
        <v>276</v>
      </c>
      <c r="S1831" s="7">
        <v>94109</v>
      </c>
      <c r="T1831" s="3">
        <v>42037</v>
      </c>
      <c r="U1831" s="3">
        <v>42038</v>
      </c>
      <c r="V1831" s="4">
        <v>1951.3</v>
      </c>
      <c r="W1831">
        <v>43</v>
      </c>
      <c r="X1831">
        <v>8717.75</v>
      </c>
      <c r="Y1831" s="7">
        <v>24294</v>
      </c>
    </row>
    <row r="1832" spans="1:25" ht="12.75" customHeight="1">
      <c r="A1832">
        <v>21406</v>
      </c>
      <c r="B1832" t="s">
        <v>37</v>
      </c>
      <c r="C1832" s="4">
        <v>0.03</v>
      </c>
      <c r="D1832" s="8">
        <v>200.97</v>
      </c>
      <c r="E1832" s="4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 s="5">
        <v>0.36</v>
      </c>
      <c r="O1832" t="s">
        <v>33</v>
      </c>
      <c r="P1832" t="s">
        <v>61</v>
      </c>
      <c r="Q1832" t="s">
        <v>178</v>
      </c>
      <c r="R1832" t="s">
        <v>2875</v>
      </c>
      <c r="S1832" s="7">
        <v>60062</v>
      </c>
      <c r="T1832" s="3">
        <v>42037</v>
      </c>
      <c r="U1832" s="3">
        <v>42038</v>
      </c>
      <c r="V1832" s="4">
        <v>1538.7827999999997</v>
      </c>
      <c r="W1832">
        <v>11</v>
      </c>
      <c r="X1832">
        <v>2230.12</v>
      </c>
      <c r="Y1832" s="7">
        <v>90850</v>
      </c>
    </row>
    <row r="1833" spans="1:25" ht="12.75" customHeight="1">
      <c r="A1833">
        <v>18437</v>
      </c>
      <c r="B1833" t="s">
        <v>106</v>
      </c>
      <c r="C1833" s="4">
        <v>7.0000000000000007E-2</v>
      </c>
      <c r="D1833" s="8">
        <v>5.98</v>
      </c>
      <c r="E1833" s="4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 s="5">
        <v>0.6</v>
      </c>
      <c r="O1833" t="s">
        <v>33</v>
      </c>
      <c r="P1833" t="s">
        <v>34</v>
      </c>
      <c r="Q1833" t="s">
        <v>1741</v>
      </c>
      <c r="R1833" t="s">
        <v>2843</v>
      </c>
      <c r="S1833" s="7">
        <v>83440</v>
      </c>
      <c r="T1833" s="3">
        <v>42093</v>
      </c>
      <c r="U1833" s="3">
        <v>42097</v>
      </c>
      <c r="V1833" s="4">
        <v>32.83</v>
      </c>
      <c r="W1833">
        <v>10</v>
      </c>
      <c r="X1833">
        <v>56.4</v>
      </c>
      <c r="Y1833" s="7">
        <v>87933</v>
      </c>
    </row>
    <row r="1834" spans="1:25" ht="12.75" customHeight="1">
      <c r="A1834">
        <v>18438</v>
      </c>
      <c r="B1834" t="s">
        <v>106</v>
      </c>
      <c r="C1834" s="4">
        <v>0.01</v>
      </c>
      <c r="D1834" s="8">
        <v>39.979999999999997</v>
      </c>
      <c r="E1834" s="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 s="5">
        <v>0.7</v>
      </c>
      <c r="O1834" t="s">
        <v>33</v>
      </c>
      <c r="P1834" t="s">
        <v>34</v>
      </c>
      <c r="Q1834" t="s">
        <v>1741</v>
      </c>
      <c r="R1834" t="s">
        <v>2878</v>
      </c>
      <c r="S1834" s="7">
        <v>83301</v>
      </c>
      <c r="T1834" s="3">
        <v>42093</v>
      </c>
      <c r="U1834" s="3">
        <v>42098</v>
      </c>
      <c r="V1834" s="4">
        <v>51.590000000000053</v>
      </c>
      <c r="W1834">
        <v>6</v>
      </c>
      <c r="X1834">
        <v>257.52</v>
      </c>
      <c r="Y1834" s="7">
        <v>87933</v>
      </c>
    </row>
    <row r="1835" spans="1:25" ht="12.75" customHeight="1">
      <c r="A1835">
        <v>21229</v>
      </c>
      <c r="B1835" t="s">
        <v>37</v>
      </c>
      <c r="C1835" s="4">
        <v>0.06</v>
      </c>
      <c r="D1835" s="8">
        <v>218.08</v>
      </c>
      <c r="E1835" s="4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 s="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 s="7">
        <v>83301</v>
      </c>
      <c r="T1835" s="3">
        <v>42145</v>
      </c>
      <c r="U1835" s="3">
        <v>42147</v>
      </c>
      <c r="V1835" s="4">
        <v>969.42</v>
      </c>
      <c r="W1835">
        <v>7</v>
      </c>
      <c r="X1835">
        <v>1488.51</v>
      </c>
      <c r="Y1835" s="7">
        <v>87934</v>
      </c>
    </row>
    <row r="1836" spans="1:25" ht="12.75" customHeight="1">
      <c r="A1836">
        <v>20156</v>
      </c>
      <c r="B1836" t="s">
        <v>37</v>
      </c>
      <c r="C1836" s="4">
        <v>0.05</v>
      </c>
      <c r="D1836" s="8">
        <v>35.44</v>
      </c>
      <c r="E1836" s="4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 s="5">
        <v>0.38</v>
      </c>
      <c r="O1836" t="s">
        <v>33</v>
      </c>
      <c r="P1836" t="s">
        <v>34</v>
      </c>
      <c r="Q1836" t="s">
        <v>1741</v>
      </c>
      <c r="R1836" t="s">
        <v>2878</v>
      </c>
      <c r="S1836" s="7">
        <v>83301</v>
      </c>
      <c r="T1836" s="3">
        <v>42152</v>
      </c>
      <c r="U1836" s="3">
        <v>42153</v>
      </c>
      <c r="V1836" s="4">
        <v>553.33169999999996</v>
      </c>
      <c r="W1836">
        <v>23</v>
      </c>
      <c r="X1836">
        <v>801.93</v>
      </c>
      <c r="Y1836" s="7">
        <v>87935</v>
      </c>
    </row>
    <row r="1837" spans="1:25" ht="12.75" customHeight="1">
      <c r="A1837">
        <v>24637</v>
      </c>
      <c r="B1837" t="s">
        <v>47</v>
      </c>
      <c r="C1837" s="4">
        <v>0.03</v>
      </c>
      <c r="D1837" s="8">
        <v>4.9800000000000004</v>
      </c>
      <c r="E1837" s="4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 s="5">
        <v>0.64</v>
      </c>
      <c r="O1837" t="s">
        <v>33</v>
      </c>
      <c r="P1837" t="s">
        <v>34</v>
      </c>
      <c r="Q1837" t="s">
        <v>45</v>
      </c>
      <c r="R1837" t="s">
        <v>2880</v>
      </c>
      <c r="S1837" s="7">
        <v>90210</v>
      </c>
      <c r="T1837" s="3">
        <v>42183</v>
      </c>
      <c r="U1837" s="3">
        <v>42184</v>
      </c>
      <c r="V1837" s="4">
        <v>-30.45</v>
      </c>
      <c r="W1837">
        <v>8</v>
      </c>
      <c r="X1837">
        <v>44.24</v>
      </c>
      <c r="Y1837" s="7">
        <v>90739</v>
      </c>
    </row>
    <row r="1838" spans="1:25" ht="12.75" customHeight="1">
      <c r="A1838">
        <v>22804</v>
      </c>
      <c r="B1838" t="s">
        <v>25</v>
      </c>
      <c r="C1838" s="4">
        <v>0.1</v>
      </c>
      <c r="D1838" s="8">
        <v>7.31</v>
      </c>
      <c r="E1838" s="4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 s="5">
        <v>0.38</v>
      </c>
      <c r="O1838" t="s">
        <v>33</v>
      </c>
      <c r="P1838" t="s">
        <v>61</v>
      </c>
      <c r="Q1838" t="s">
        <v>178</v>
      </c>
      <c r="R1838" t="s">
        <v>2882</v>
      </c>
      <c r="S1838" s="7">
        <v>60101</v>
      </c>
      <c r="T1838" s="3">
        <v>42050</v>
      </c>
      <c r="U1838" s="3">
        <v>42051</v>
      </c>
      <c r="V1838" s="4">
        <v>55.020599999999995</v>
      </c>
      <c r="W1838">
        <v>12</v>
      </c>
      <c r="X1838">
        <v>79.739999999999995</v>
      </c>
      <c r="Y1838" s="7">
        <v>91522</v>
      </c>
    </row>
    <row r="1839" spans="1:25" ht="12.75" customHeight="1">
      <c r="A1839">
        <v>22805</v>
      </c>
      <c r="B1839" t="s">
        <v>25</v>
      </c>
      <c r="C1839" s="4">
        <v>0.1</v>
      </c>
      <c r="D1839" s="8">
        <v>20.99</v>
      </c>
      <c r="E1839" s="4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 s="5">
        <v>0.81</v>
      </c>
      <c r="O1839" t="s">
        <v>33</v>
      </c>
      <c r="P1839" t="s">
        <v>61</v>
      </c>
      <c r="Q1839" t="s">
        <v>178</v>
      </c>
      <c r="R1839" t="s">
        <v>2882</v>
      </c>
      <c r="S1839" s="7">
        <v>60101</v>
      </c>
      <c r="T1839" s="3">
        <v>42050</v>
      </c>
      <c r="U1839" s="3">
        <v>42051</v>
      </c>
      <c r="V1839" s="4">
        <v>-43.65504</v>
      </c>
      <c r="W1839">
        <v>23</v>
      </c>
      <c r="X1839">
        <v>392.45</v>
      </c>
      <c r="Y1839" s="7">
        <v>91522</v>
      </c>
    </row>
    <row r="1840" spans="1:25" ht="12.75" customHeight="1">
      <c r="A1840">
        <v>23736</v>
      </c>
      <c r="B1840" t="s">
        <v>37</v>
      </c>
      <c r="C1840" s="4">
        <v>0.03</v>
      </c>
      <c r="D1840" s="8">
        <v>6.68</v>
      </c>
      <c r="E1840" s="4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 s="5">
        <v>0.48</v>
      </c>
      <c r="O1840" t="s">
        <v>33</v>
      </c>
      <c r="P1840" t="s">
        <v>136</v>
      </c>
      <c r="Q1840" t="s">
        <v>362</v>
      </c>
      <c r="R1840" t="s">
        <v>2884</v>
      </c>
      <c r="S1840" s="7">
        <v>33322</v>
      </c>
      <c r="T1840" s="3">
        <v>42106</v>
      </c>
      <c r="U1840" s="3">
        <v>42107</v>
      </c>
      <c r="V1840" s="4">
        <v>-577.30400000000009</v>
      </c>
      <c r="W1840">
        <v>7</v>
      </c>
      <c r="X1840">
        <v>48.32</v>
      </c>
      <c r="Y1840" s="7">
        <v>90815</v>
      </c>
    </row>
    <row r="1841" spans="1:25" ht="12.75" customHeight="1">
      <c r="A1841">
        <v>25605</v>
      </c>
      <c r="B1841" t="s">
        <v>25</v>
      </c>
      <c r="C1841" s="4">
        <v>0.04</v>
      </c>
      <c r="D1841" s="8">
        <v>39.479999999999997</v>
      </c>
      <c r="E1841" s="4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 s="5">
        <v>0.54</v>
      </c>
      <c r="O1841" t="s">
        <v>33</v>
      </c>
      <c r="P1841" t="s">
        <v>136</v>
      </c>
      <c r="Q1841" t="s">
        <v>362</v>
      </c>
      <c r="R1841" t="s">
        <v>2886</v>
      </c>
      <c r="S1841" s="7">
        <v>32303</v>
      </c>
      <c r="T1841" s="3">
        <v>42082</v>
      </c>
      <c r="U1841" s="3">
        <v>42082</v>
      </c>
      <c r="V1841" s="4">
        <v>-1535.4864000000002</v>
      </c>
      <c r="W1841">
        <v>8</v>
      </c>
      <c r="X1841">
        <v>332.16</v>
      </c>
      <c r="Y1841" s="7">
        <v>90814</v>
      </c>
    </row>
    <row r="1842" spans="1:25" ht="12.75" customHeight="1">
      <c r="A1842">
        <v>25606</v>
      </c>
      <c r="B1842" t="s">
        <v>25</v>
      </c>
      <c r="C1842" s="4">
        <v>0</v>
      </c>
      <c r="D1842" s="8">
        <v>8.1199999999999992</v>
      </c>
      <c r="E1842" s="4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 s="5">
        <v>0.77</v>
      </c>
      <c r="O1842" t="s">
        <v>33</v>
      </c>
      <c r="P1842" t="s">
        <v>136</v>
      </c>
      <c r="Q1842" t="s">
        <v>362</v>
      </c>
      <c r="R1842" t="s">
        <v>2886</v>
      </c>
      <c r="S1842" s="7">
        <v>32303</v>
      </c>
      <c r="T1842" s="3">
        <v>42082</v>
      </c>
      <c r="U1842" s="3">
        <v>42083</v>
      </c>
      <c r="V1842" s="4">
        <v>-159.32</v>
      </c>
      <c r="W1842">
        <v>17</v>
      </c>
      <c r="X1842">
        <v>147.62</v>
      </c>
      <c r="Y1842" s="7">
        <v>90814</v>
      </c>
    </row>
    <row r="1843" spans="1:25" ht="12.75" customHeight="1">
      <c r="A1843">
        <v>19517</v>
      </c>
      <c r="B1843" t="s">
        <v>47</v>
      </c>
      <c r="C1843" s="4">
        <v>0.06</v>
      </c>
      <c r="D1843" s="8">
        <v>60.98</v>
      </c>
      <c r="E1843" s="4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 s="5">
        <v>0.7</v>
      </c>
      <c r="O1843" t="s">
        <v>33</v>
      </c>
      <c r="P1843" t="s">
        <v>136</v>
      </c>
      <c r="Q1843" t="s">
        <v>244</v>
      </c>
      <c r="R1843" t="s">
        <v>2889</v>
      </c>
      <c r="S1843" s="7">
        <v>37066</v>
      </c>
      <c r="T1843" s="3">
        <v>42095</v>
      </c>
      <c r="U1843" s="3">
        <v>42096</v>
      </c>
      <c r="V1843" s="4">
        <v>-74.088000000000008</v>
      </c>
      <c r="W1843">
        <v>2</v>
      </c>
      <c r="X1843">
        <v>125.9</v>
      </c>
      <c r="Y1843" s="7">
        <v>86508</v>
      </c>
    </row>
    <row r="1844" spans="1:25" ht="12.75" customHeight="1">
      <c r="A1844">
        <v>22291</v>
      </c>
      <c r="B1844" t="s">
        <v>37</v>
      </c>
      <c r="C1844" s="4">
        <v>0.1</v>
      </c>
      <c r="D1844" s="8">
        <v>208.16</v>
      </c>
      <c r="E1844" s="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 s="5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 s="7">
        <v>38138</v>
      </c>
      <c r="T1844" s="3">
        <v>42018</v>
      </c>
      <c r="U1844" s="3">
        <v>42018</v>
      </c>
      <c r="V1844" s="4">
        <v>-137.52199999999999</v>
      </c>
      <c r="W1844">
        <v>4</v>
      </c>
      <c r="X1844">
        <v>768.81</v>
      </c>
      <c r="Y1844" s="7">
        <v>86507</v>
      </c>
    </row>
    <row r="1845" spans="1:25" ht="12.75" customHeight="1">
      <c r="A1845">
        <v>22292</v>
      </c>
      <c r="B1845" t="s">
        <v>37</v>
      </c>
      <c r="C1845" s="4">
        <v>7.0000000000000007E-2</v>
      </c>
      <c r="D1845" s="8">
        <v>90.48</v>
      </c>
      <c r="E1845" s="4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 s="5">
        <v>0.4</v>
      </c>
      <c r="O1845" t="s">
        <v>33</v>
      </c>
      <c r="P1845" t="s">
        <v>136</v>
      </c>
      <c r="Q1845" t="s">
        <v>244</v>
      </c>
      <c r="R1845" t="s">
        <v>2894</v>
      </c>
      <c r="S1845" s="7">
        <v>37075</v>
      </c>
      <c r="T1845" s="3">
        <v>42018</v>
      </c>
      <c r="U1845" s="3">
        <v>42019</v>
      </c>
      <c r="V1845" s="4">
        <v>-11.815999999999999</v>
      </c>
      <c r="W1845">
        <v>2</v>
      </c>
      <c r="X1845">
        <v>183.39</v>
      </c>
      <c r="Y1845" s="7">
        <v>86507</v>
      </c>
    </row>
    <row r="1846" spans="1:25" ht="12.75" customHeight="1">
      <c r="A1846">
        <v>22293</v>
      </c>
      <c r="B1846" t="s">
        <v>37</v>
      </c>
      <c r="C1846" s="4">
        <v>0.01</v>
      </c>
      <c r="D1846" s="8">
        <v>9.48</v>
      </c>
      <c r="E1846" s="4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 s="5">
        <v>0.45</v>
      </c>
      <c r="O1846" t="s">
        <v>33</v>
      </c>
      <c r="P1846" t="s">
        <v>136</v>
      </c>
      <c r="Q1846" t="s">
        <v>244</v>
      </c>
      <c r="R1846" t="s">
        <v>2894</v>
      </c>
      <c r="S1846" s="7">
        <v>37075</v>
      </c>
      <c r="T1846" s="3">
        <v>42018</v>
      </c>
      <c r="U1846" s="3">
        <v>42020</v>
      </c>
      <c r="V1846" s="4">
        <v>238.93379999999999</v>
      </c>
      <c r="W1846">
        <v>1</v>
      </c>
      <c r="X1846">
        <v>12.9</v>
      </c>
      <c r="Y1846" s="7">
        <v>86507</v>
      </c>
    </row>
    <row r="1847" spans="1:25" ht="12.75" customHeight="1">
      <c r="A1847">
        <v>22294</v>
      </c>
      <c r="B1847" t="s">
        <v>37</v>
      </c>
      <c r="C1847" s="4">
        <v>0.02</v>
      </c>
      <c r="D1847" s="8">
        <v>4.28</v>
      </c>
      <c r="E1847" s="4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 s="5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 s="7">
        <v>37075</v>
      </c>
      <c r="T1847" s="3">
        <v>42018</v>
      </c>
      <c r="U1847" s="3">
        <v>42019</v>
      </c>
      <c r="V1847" s="4">
        <v>-105.126</v>
      </c>
      <c r="W1847">
        <v>4</v>
      </c>
      <c r="X1847">
        <v>17.89</v>
      </c>
      <c r="Y1847" s="7">
        <v>86507</v>
      </c>
    </row>
    <row r="1848" spans="1:25" ht="12.75" customHeight="1">
      <c r="A1848">
        <v>24343</v>
      </c>
      <c r="B1848" t="s">
        <v>56</v>
      </c>
      <c r="C1848" s="4">
        <v>0.06</v>
      </c>
      <c r="D1848" s="8">
        <v>22.24</v>
      </c>
      <c r="E1848" s="4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 s="5">
        <v>0.43</v>
      </c>
      <c r="O1848" t="s">
        <v>33</v>
      </c>
      <c r="P1848" t="s">
        <v>136</v>
      </c>
      <c r="Q1848" t="s">
        <v>244</v>
      </c>
      <c r="R1848" t="s">
        <v>2894</v>
      </c>
      <c r="S1848" s="7">
        <v>37075</v>
      </c>
      <c r="T1848" s="3">
        <v>42183</v>
      </c>
      <c r="U1848" s="3">
        <v>42185</v>
      </c>
      <c r="V1848" s="4">
        <v>95.387999999999991</v>
      </c>
      <c r="W1848">
        <v>12</v>
      </c>
      <c r="X1848">
        <v>255.88</v>
      </c>
      <c r="Y1848" s="7">
        <v>86509</v>
      </c>
    </row>
    <row r="1849" spans="1:25" ht="12.75" customHeight="1">
      <c r="A1849">
        <v>18940</v>
      </c>
      <c r="B1849" t="s">
        <v>37</v>
      </c>
      <c r="C1849" s="4">
        <v>0.01</v>
      </c>
      <c r="D1849" s="8">
        <v>24.95</v>
      </c>
      <c r="E1849" s="4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 s="5">
        <v>0.39</v>
      </c>
      <c r="O1849" t="s">
        <v>33</v>
      </c>
      <c r="P1849" t="s">
        <v>61</v>
      </c>
      <c r="Q1849" t="s">
        <v>1858</v>
      </c>
      <c r="R1849" t="s">
        <v>2898</v>
      </c>
      <c r="S1849" s="7">
        <v>54880</v>
      </c>
      <c r="T1849" s="3">
        <v>42025</v>
      </c>
      <c r="U1849" s="3">
        <v>42026</v>
      </c>
      <c r="V1849" s="4">
        <v>261.38579999999996</v>
      </c>
      <c r="W1849">
        <v>15</v>
      </c>
      <c r="X1849">
        <v>378.82</v>
      </c>
      <c r="Y1849" s="7">
        <v>87435</v>
      </c>
    </row>
    <row r="1850" spans="1:25" ht="12.75" customHeight="1">
      <c r="A1850">
        <v>18941</v>
      </c>
      <c r="B1850" t="s">
        <v>37</v>
      </c>
      <c r="C1850" s="4">
        <v>0</v>
      </c>
      <c r="D1850" s="8">
        <v>15.98</v>
      </c>
      <c r="E1850" s="4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 s="5">
        <v>0.64</v>
      </c>
      <c r="O1850" t="s">
        <v>33</v>
      </c>
      <c r="P1850" t="s">
        <v>61</v>
      </c>
      <c r="Q1850" t="s">
        <v>1858</v>
      </c>
      <c r="R1850" t="s">
        <v>2901</v>
      </c>
      <c r="S1850" s="7">
        <v>53186</v>
      </c>
      <c r="T1850" s="3">
        <v>42025</v>
      </c>
      <c r="U1850" s="3">
        <v>42027</v>
      </c>
      <c r="V1850" s="4">
        <v>-135.46</v>
      </c>
      <c r="W1850">
        <v>9</v>
      </c>
      <c r="X1850">
        <v>152.18</v>
      </c>
      <c r="Y1850" s="7">
        <v>87435</v>
      </c>
    </row>
    <row r="1851" spans="1:25" ht="12.75" customHeight="1">
      <c r="A1851">
        <v>19062</v>
      </c>
      <c r="B1851" t="s">
        <v>47</v>
      </c>
      <c r="C1851" s="4">
        <v>0.06</v>
      </c>
      <c r="D1851" s="8">
        <v>4.91</v>
      </c>
      <c r="E1851" s="4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 s="5">
        <v>0.36</v>
      </c>
      <c r="O1851" t="s">
        <v>33</v>
      </c>
      <c r="P1851" t="s">
        <v>61</v>
      </c>
      <c r="Q1851" t="s">
        <v>1858</v>
      </c>
      <c r="R1851" t="s">
        <v>2901</v>
      </c>
      <c r="S1851" s="7">
        <v>53186</v>
      </c>
      <c r="T1851" s="3">
        <v>42168</v>
      </c>
      <c r="U1851" s="3">
        <v>42168</v>
      </c>
      <c r="V1851" s="4">
        <v>-31.68825</v>
      </c>
      <c r="W1851">
        <v>10</v>
      </c>
      <c r="X1851">
        <v>53.89</v>
      </c>
      <c r="Y1851" s="7">
        <v>87436</v>
      </c>
    </row>
    <row r="1852" spans="1:25" ht="12.75" customHeight="1">
      <c r="A1852">
        <v>19063</v>
      </c>
      <c r="B1852" t="s">
        <v>47</v>
      </c>
      <c r="C1852" s="4">
        <v>7.0000000000000007E-2</v>
      </c>
      <c r="D1852" s="8">
        <v>48.94</v>
      </c>
      <c r="E1852" s="4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 s="5">
        <v>0.35</v>
      </c>
      <c r="O1852" t="s">
        <v>33</v>
      </c>
      <c r="P1852" t="s">
        <v>61</v>
      </c>
      <c r="Q1852" t="s">
        <v>1858</v>
      </c>
      <c r="R1852" t="s">
        <v>2901</v>
      </c>
      <c r="S1852" s="7">
        <v>53186</v>
      </c>
      <c r="T1852" s="3">
        <v>42168</v>
      </c>
      <c r="U1852" s="3">
        <v>42169</v>
      </c>
      <c r="V1852" s="4">
        <v>690.70379999999989</v>
      </c>
      <c r="W1852">
        <v>21</v>
      </c>
      <c r="X1852">
        <v>1001.02</v>
      </c>
      <c r="Y1852" s="7">
        <v>87436</v>
      </c>
    </row>
    <row r="1853" spans="1:25" ht="12.75" customHeight="1">
      <c r="A1853">
        <v>19179</v>
      </c>
      <c r="B1853" t="s">
        <v>106</v>
      </c>
      <c r="C1853" s="4">
        <v>0.06</v>
      </c>
      <c r="D1853" s="8">
        <v>115.99</v>
      </c>
      <c r="E1853" s="4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 s="5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 s="7">
        <v>97330</v>
      </c>
      <c r="T1853" s="3">
        <v>42159</v>
      </c>
      <c r="U1853" s="3">
        <v>42161</v>
      </c>
      <c r="V1853" s="4">
        <v>-13.068000000000001</v>
      </c>
      <c r="W1853">
        <v>5</v>
      </c>
      <c r="X1853">
        <v>495.82</v>
      </c>
      <c r="Y1853" s="7">
        <v>89564</v>
      </c>
    </row>
    <row r="1854" spans="1:25" ht="12.75" customHeight="1">
      <c r="A1854">
        <v>23084</v>
      </c>
      <c r="B1854" t="s">
        <v>25</v>
      </c>
      <c r="C1854" s="4">
        <v>0</v>
      </c>
      <c r="D1854" s="8">
        <v>7.28</v>
      </c>
      <c r="E1854" s="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 s="5">
        <v>0.68</v>
      </c>
      <c r="O1854" t="s">
        <v>33</v>
      </c>
      <c r="P1854" t="s">
        <v>53</v>
      </c>
      <c r="Q1854" t="s">
        <v>228</v>
      </c>
      <c r="R1854" t="s">
        <v>916</v>
      </c>
      <c r="S1854" s="7">
        <v>6010</v>
      </c>
      <c r="T1854" s="3">
        <v>42165</v>
      </c>
      <c r="U1854" s="3">
        <v>42165</v>
      </c>
      <c r="V1854" s="4">
        <v>-25.103999999999999</v>
      </c>
      <c r="W1854">
        <v>3</v>
      </c>
      <c r="X1854">
        <v>24.44</v>
      </c>
      <c r="Y1854" s="7">
        <v>88329</v>
      </c>
    </row>
    <row r="1855" spans="1:25" ht="12.75" customHeight="1">
      <c r="A1855">
        <v>23267</v>
      </c>
      <c r="B1855" t="s">
        <v>106</v>
      </c>
      <c r="C1855" s="4">
        <v>0.06</v>
      </c>
      <c r="D1855" s="8">
        <v>5.18</v>
      </c>
      <c r="E1855" s="4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 s="5">
        <v>0.36</v>
      </c>
      <c r="O1855" t="s">
        <v>33</v>
      </c>
      <c r="P1855" t="s">
        <v>53</v>
      </c>
      <c r="Q1855" t="s">
        <v>197</v>
      </c>
      <c r="R1855" t="s">
        <v>2908</v>
      </c>
      <c r="S1855" s="7">
        <v>3051</v>
      </c>
      <c r="T1855" s="3">
        <v>42095</v>
      </c>
      <c r="U1855" s="3">
        <v>42095</v>
      </c>
      <c r="V1855" s="4">
        <v>1.9504000000000001</v>
      </c>
      <c r="W1855">
        <v>4</v>
      </c>
      <c r="X1855">
        <v>21.86</v>
      </c>
      <c r="Y1855" s="7">
        <v>88330</v>
      </c>
    </row>
    <row r="1856" spans="1:25" ht="12.75" customHeight="1">
      <c r="A1856">
        <v>18265</v>
      </c>
      <c r="B1856" t="s">
        <v>25</v>
      </c>
      <c r="C1856" s="4">
        <v>7.0000000000000007E-2</v>
      </c>
      <c r="D1856" s="8">
        <v>2.78</v>
      </c>
      <c r="E1856" s="4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 s="5">
        <v>0.36</v>
      </c>
      <c r="O1856" t="s">
        <v>33</v>
      </c>
      <c r="P1856" t="s">
        <v>136</v>
      </c>
      <c r="Q1856" t="s">
        <v>171</v>
      </c>
      <c r="R1856" t="s">
        <v>2910</v>
      </c>
      <c r="S1856" s="7">
        <v>70458</v>
      </c>
      <c r="T1856" s="3">
        <v>42131</v>
      </c>
      <c r="U1856" s="3">
        <v>42132</v>
      </c>
      <c r="V1856" s="4">
        <v>-340.53109999999998</v>
      </c>
      <c r="W1856">
        <v>17</v>
      </c>
      <c r="X1856">
        <v>47.12</v>
      </c>
      <c r="Y1856" s="7">
        <v>87297</v>
      </c>
    </row>
    <row r="1857" spans="1:25" ht="12.75" customHeight="1">
      <c r="A1857">
        <v>25820</v>
      </c>
      <c r="B1857" t="s">
        <v>25</v>
      </c>
      <c r="C1857" s="4">
        <v>0.03</v>
      </c>
      <c r="D1857" s="8">
        <v>42.8</v>
      </c>
      <c r="E1857" s="4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 s="5">
        <v>0.36</v>
      </c>
      <c r="O1857" t="s">
        <v>33</v>
      </c>
      <c r="P1857" t="s">
        <v>53</v>
      </c>
      <c r="Q1857" t="s">
        <v>415</v>
      </c>
      <c r="R1857" t="s">
        <v>2913</v>
      </c>
      <c r="S1857" s="7">
        <v>21403</v>
      </c>
      <c r="T1857" s="3">
        <v>42147</v>
      </c>
      <c r="U1857" s="3">
        <v>42148</v>
      </c>
      <c r="V1857" s="4">
        <v>462.92099999999994</v>
      </c>
      <c r="W1857">
        <v>16</v>
      </c>
      <c r="X1857">
        <v>670.9</v>
      </c>
      <c r="Y1857" s="7">
        <v>87298</v>
      </c>
    </row>
    <row r="1858" spans="1:25" ht="12.75" customHeight="1">
      <c r="A1858">
        <v>5511</v>
      </c>
      <c r="B1858" t="s">
        <v>47</v>
      </c>
      <c r="C1858" s="4">
        <v>0.02</v>
      </c>
      <c r="D1858" s="8">
        <v>5.28</v>
      </c>
      <c r="E1858" s="4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 s="5">
        <v>0.4</v>
      </c>
      <c r="O1858" t="s">
        <v>33</v>
      </c>
      <c r="P1858" t="s">
        <v>53</v>
      </c>
      <c r="Q1858" t="s">
        <v>71</v>
      </c>
      <c r="R1858" t="s">
        <v>90</v>
      </c>
      <c r="S1858" s="7">
        <v>10112</v>
      </c>
      <c r="T1858" s="3">
        <v>42166</v>
      </c>
      <c r="U1858" s="3">
        <v>42167</v>
      </c>
      <c r="V1858" s="4">
        <v>-131.16</v>
      </c>
      <c r="W1858">
        <v>76</v>
      </c>
      <c r="X1858">
        <v>412.72</v>
      </c>
      <c r="Y1858" s="7">
        <v>39076</v>
      </c>
    </row>
    <row r="1859" spans="1:25" ht="12.75" customHeight="1">
      <c r="A1859">
        <v>23324</v>
      </c>
      <c r="B1859" t="s">
        <v>47</v>
      </c>
      <c r="C1859" s="4">
        <v>0.01</v>
      </c>
      <c r="D1859" s="8">
        <v>11.34</v>
      </c>
      <c r="E1859" s="4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 s="5">
        <v>0.36</v>
      </c>
      <c r="O1859" t="s">
        <v>33</v>
      </c>
      <c r="P1859" t="s">
        <v>53</v>
      </c>
      <c r="Q1859" t="s">
        <v>71</v>
      </c>
      <c r="R1859" t="s">
        <v>2916</v>
      </c>
      <c r="S1859" s="7">
        <v>12306</v>
      </c>
      <c r="T1859" s="3">
        <v>42093</v>
      </c>
      <c r="U1859" s="3">
        <v>42095</v>
      </c>
      <c r="V1859" s="4">
        <v>-11.83</v>
      </c>
      <c r="W1859">
        <v>1</v>
      </c>
      <c r="X1859">
        <v>14.52</v>
      </c>
      <c r="Y1859" s="7">
        <v>87296</v>
      </c>
    </row>
    <row r="1860" spans="1:25" ht="12.75" customHeight="1">
      <c r="A1860">
        <v>23511</v>
      </c>
      <c r="B1860" t="s">
        <v>47</v>
      </c>
      <c r="C1860" s="4">
        <v>0.02</v>
      </c>
      <c r="D1860" s="8">
        <v>5.28</v>
      </c>
      <c r="E1860" s="4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 s="5">
        <v>0.4</v>
      </c>
      <c r="O1860" t="s">
        <v>33</v>
      </c>
      <c r="P1860" t="s">
        <v>53</v>
      </c>
      <c r="Q1860" t="s">
        <v>71</v>
      </c>
      <c r="R1860" t="s">
        <v>2916</v>
      </c>
      <c r="S1860" s="7">
        <v>12306</v>
      </c>
      <c r="T1860" s="3">
        <v>42166</v>
      </c>
      <c r="U1860" s="3">
        <v>42167</v>
      </c>
      <c r="V1860" s="4">
        <v>-65.58</v>
      </c>
      <c r="W1860">
        <v>19</v>
      </c>
      <c r="X1860">
        <v>103.18</v>
      </c>
      <c r="Y1860" s="7">
        <v>87299</v>
      </c>
    </row>
    <row r="1861" spans="1:25" ht="12.75" customHeight="1">
      <c r="A1861">
        <v>21046</v>
      </c>
      <c r="B1861" t="s">
        <v>47</v>
      </c>
      <c r="C1861" s="4">
        <v>0.06</v>
      </c>
      <c r="D1861" s="8">
        <v>47.98</v>
      </c>
      <c r="E1861" s="4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 s="5">
        <v>0.71</v>
      </c>
      <c r="O1861" t="s">
        <v>33</v>
      </c>
      <c r="P1861" t="s">
        <v>136</v>
      </c>
      <c r="Q1861" t="s">
        <v>362</v>
      </c>
      <c r="R1861" t="s">
        <v>2918</v>
      </c>
      <c r="S1861" s="7">
        <v>33319</v>
      </c>
      <c r="T1861" s="3">
        <v>42053</v>
      </c>
      <c r="U1861" s="3">
        <v>42055</v>
      </c>
      <c r="V1861" s="4">
        <v>596.80799999999999</v>
      </c>
      <c r="W1861">
        <v>2</v>
      </c>
      <c r="X1861">
        <v>97.96</v>
      </c>
      <c r="Y1861" s="7">
        <v>90488</v>
      </c>
    </row>
    <row r="1862" spans="1:25" ht="12.75" customHeight="1">
      <c r="A1862">
        <v>18728</v>
      </c>
      <c r="B1862" t="s">
        <v>37</v>
      </c>
      <c r="C1862" s="4">
        <v>0.01</v>
      </c>
      <c r="D1862" s="8">
        <v>349.45</v>
      </c>
      <c r="E1862" s="4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 s="7">
        <v>98632</v>
      </c>
      <c r="T1862" s="3">
        <v>42150</v>
      </c>
      <c r="U1862" s="3">
        <v>42151</v>
      </c>
      <c r="V1862" s="4">
        <v>3739.3928999999998</v>
      </c>
      <c r="W1862">
        <v>15</v>
      </c>
      <c r="X1862">
        <v>5419.41</v>
      </c>
      <c r="Y1862" s="7">
        <v>88825</v>
      </c>
    </row>
    <row r="1863" spans="1:25" ht="12.75" customHeight="1">
      <c r="A1863">
        <v>21852</v>
      </c>
      <c r="B1863" t="s">
        <v>56</v>
      </c>
      <c r="C1863" s="4">
        <v>0</v>
      </c>
      <c r="D1863" s="8">
        <v>25.38</v>
      </c>
      <c r="E1863" s="4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 s="5">
        <v>0.5</v>
      </c>
      <c r="O1863" t="s">
        <v>33</v>
      </c>
      <c r="P1863" t="s">
        <v>34</v>
      </c>
      <c r="Q1863" t="s">
        <v>35</v>
      </c>
      <c r="R1863" t="s">
        <v>2920</v>
      </c>
      <c r="S1863" s="7">
        <v>98632</v>
      </c>
      <c r="T1863" s="3">
        <v>42137</v>
      </c>
      <c r="U1863" s="3">
        <v>42139</v>
      </c>
      <c r="V1863" s="4">
        <v>470.33799999999997</v>
      </c>
      <c r="W1863">
        <v>26</v>
      </c>
      <c r="X1863">
        <v>700.41</v>
      </c>
      <c r="Y1863" s="7">
        <v>88826</v>
      </c>
    </row>
    <row r="1864" spans="1:25" ht="12.75" customHeight="1">
      <c r="A1864">
        <v>23010</v>
      </c>
      <c r="B1864" t="s">
        <v>37</v>
      </c>
      <c r="C1864" s="4">
        <v>0.02</v>
      </c>
      <c r="D1864" s="8">
        <v>55.94</v>
      </c>
      <c r="E1864" s="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 s="5">
        <v>0.68</v>
      </c>
      <c r="O1864" t="s">
        <v>33</v>
      </c>
      <c r="P1864" t="s">
        <v>34</v>
      </c>
      <c r="Q1864" t="s">
        <v>35</v>
      </c>
      <c r="R1864" t="s">
        <v>2922</v>
      </c>
      <c r="S1864" s="7">
        <v>98037</v>
      </c>
      <c r="T1864" s="3">
        <v>42084</v>
      </c>
      <c r="U1864" s="3">
        <v>42086</v>
      </c>
      <c r="V1864" s="4">
        <v>401.85</v>
      </c>
      <c r="W1864">
        <v>11</v>
      </c>
      <c r="X1864">
        <v>646.88</v>
      </c>
      <c r="Y1864" s="7">
        <v>88824</v>
      </c>
    </row>
    <row r="1865" spans="1:25" ht="12.75" customHeight="1">
      <c r="A1865">
        <v>22576</v>
      </c>
      <c r="B1865" t="s">
        <v>37</v>
      </c>
      <c r="C1865" s="4">
        <v>7.0000000000000007E-2</v>
      </c>
      <c r="D1865" s="8">
        <v>105.34</v>
      </c>
      <c r="E1865" s="4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 s="5">
        <v>0.61</v>
      </c>
      <c r="O1865" t="s">
        <v>33</v>
      </c>
      <c r="P1865" t="s">
        <v>61</v>
      </c>
      <c r="Q1865" t="s">
        <v>300</v>
      </c>
      <c r="R1865" t="s">
        <v>2924</v>
      </c>
      <c r="S1865" s="7">
        <v>49221</v>
      </c>
      <c r="T1865" s="3">
        <v>42180</v>
      </c>
      <c r="U1865" s="3">
        <v>42181</v>
      </c>
      <c r="V1865" s="4">
        <v>710.67239999999993</v>
      </c>
      <c r="W1865">
        <v>10</v>
      </c>
      <c r="X1865">
        <v>1029.96</v>
      </c>
      <c r="Y1865" s="7">
        <v>90296</v>
      </c>
    </row>
    <row r="1866" spans="1:25" ht="12.75" customHeight="1">
      <c r="A1866">
        <v>19214</v>
      </c>
      <c r="B1866" t="s">
        <v>56</v>
      </c>
      <c r="C1866" s="4">
        <v>0.04</v>
      </c>
      <c r="D1866" s="8">
        <v>9.99</v>
      </c>
      <c r="E1866" s="4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 s="5">
        <v>0.4</v>
      </c>
      <c r="O1866" t="s">
        <v>33</v>
      </c>
      <c r="P1866" t="s">
        <v>34</v>
      </c>
      <c r="Q1866" t="s">
        <v>45</v>
      </c>
      <c r="R1866" t="s">
        <v>2926</v>
      </c>
      <c r="S1866" s="7">
        <v>95501</v>
      </c>
      <c r="T1866" s="3">
        <v>42143</v>
      </c>
      <c r="U1866" s="3">
        <v>42145</v>
      </c>
      <c r="V1866" s="4">
        <v>-92.32</v>
      </c>
      <c r="W1866">
        <v>5</v>
      </c>
      <c r="X1866">
        <v>52.09</v>
      </c>
      <c r="Y1866" s="7">
        <v>89835</v>
      </c>
    </row>
    <row r="1867" spans="1:25" ht="12.75" customHeight="1">
      <c r="A1867">
        <v>21459</v>
      </c>
      <c r="B1867" t="s">
        <v>47</v>
      </c>
      <c r="C1867" s="4">
        <v>0</v>
      </c>
      <c r="D1867" s="8">
        <v>122.99</v>
      </c>
      <c r="E1867" s="4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 s="5">
        <v>0.74</v>
      </c>
      <c r="O1867" t="s">
        <v>33</v>
      </c>
      <c r="P1867" t="s">
        <v>53</v>
      </c>
      <c r="Q1867" t="s">
        <v>188</v>
      </c>
      <c r="R1867" t="s">
        <v>433</v>
      </c>
      <c r="S1867" s="7">
        <v>4073</v>
      </c>
      <c r="T1867" s="3">
        <v>42032</v>
      </c>
      <c r="U1867" s="3">
        <v>42033</v>
      </c>
      <c r="V1867" s="4">
        <v>-1764.29</v>
      </c>
      <c r="W1867">
        <v>14</v>
      </c>
      <c r="X1867">
        <v>1794.88</v>
      </c>
      <c r="Y1867" s="7">
        <v>89836</v>
      </c>
    </row>
    <row r="1868" spans="1:25" ht="12.75" customHeight="1">
      <c r="A1868">
        <v>21458</v>
      </c>
      <c r="B1868" t="s">
        <v>47</v>
      </c>
      <c r="C1868" s="4">
        <v>0.01</v>
      </c>
      <c r="D1868" s="8">
        <v>60.97</v>
      </c>
      <c r="E1868" s="4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 s="5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 s="7">
        <v>7060</v>
      </c>
      <c r="T1868" s="3">
        <v>42032</v>
      </c>
      <c r="U1868" s="3">
        <v>42034</v>
      </c>
      <c r="V1868" s="4">
        <v>527.87759999999992</v>
      </c>
      <c r="W1868">
        <v>12</v>
      </c>
      <c r="X1868">
        <v>765.04</v>
      </c>
      <c r="Y1868" s="7">
        <v>89836</v>
      </c>
    </row>
    <row r="1869" spans="1:25" ht="12.75" customHeight="1">
      <c r="A1869">
        <v>19047</v>
      </c>
      <c r="B1869" t="s">
        <v>106</v>
      </c>
      <c r="C1869" s="4">
        <v>0.02</v>
      </c>
      <c r="D1869" s="8">
        <v>13.48</v>
      </c>
      <c r="E1869" s="4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 s="5">
        <v>0.59</v>
      </c>
      <c r="O1869" t="s">
        <v>33</v>
      </c>
      <c r="P1869" t="s">
        <v>34</v>
      </c>
      <c r="Q1869" t="s">
        <v>35</v>
      </c>
      <c r="R1869" t="s">
        <v>1961</v>
      </c>
      <c r="S1869" s="7">
        <v>98273</v>
      </c>
      <c r="T1869" s="3">
        <v>42084</v>
      </c>
      <c r="U1869" s="3">
        <v>42086</v>
      </c>
      <c r="V1869" s="4">
        <v>34.520000000000003</v>
      </c>
      <c r="W1869">
        <v>9</v>
      </c>
      <c r="X1869">
        <v>127.12</v>
      </c>
      <c r="Y1869" s="7">
        <v>86233</v>
      </c>
    </row>
    <row r="1870" spans="1:25" ht="12.75" customHeight="1">
      <c r="A1870">
        <v>19232</v>
      </c>
      <c r="B1870" t="s">
        <v>106</v>
      </c>
      <c r="C1870" s="4">
        <v>0.04</v>
      </c>
      <c r="D1870" s="8">
        <v>449.99</v>
      </c>
      <c r="E1870" s="4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 s="5">
        <v>0.52</v>
      </c>
      <c r="O1870" t="s">
        <v>33</v>
      </c>
      <c r="P1870" t="s">
        <v>34</v>
      </c>
      <c r="Q1870" t="s">
        <v>35</v>
      </c>
      <c r="R1870" t="s">
        <v>1961</v>
      </c>
      <c r="S1870" s="7">
        <v>98273</v>
      </c>
      <c r="T1870" s="3">
        <v>42005</v>
      </c>
      <c r="U1870" s="3">
        <v>42009</v>
      </c>
      <c r="V1870" s="4">
        <v>3576.8840999999998</v>
      </c>
      <c r="W1870">
        <v>12</v>
      </c>
      <c r="X1870">
        <v>5183.8900000000003</v>
      </c>
      <c r="Y1870" s="7">
        <v>86234</v>
      </c>
    </row>
    <row r="1871" spans="1:25" ht="12.75" customHeight="1">
      <c r="A1871">
        <v>19233</v>
      </c>
      <c r="B1871" t="s">
        <v>106</v>
      </c>
      <c r="C1871" s="4">
        <v>0.01</v>
      </c>
      <c r="D1871" s="8">
        <v>5.84</v>
      </c>
      <c r="E1871" s="4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 s="5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 s="7">
        <v>98273</v>
      </c>
      <c r="T1871" s="3">
        <v>42005</v>
      </c>
      <c r="U1871" s="3">
        <v>42014</v>
      </c>
      <c r="V1871" s="4">
        <v>20.38</v>
      </c>
      <c r="W1871">
        <v>6</v>
      </c>
      <c r="X1871">
        <v>36.090000000000003</v>
      </c>
      <c r="Y1871" s="7">
        <v>86234</v>
      </c>
    </row>
    <row r="1872" spans="1:25" ht="12.75" customHeight="1">
      <c r="A1872">
        <v>20039</v>
      </c>
      <c r="B1872" t="s">
        <v>25</v>
      </c>
      <c r="C1872" s="4">
        <v>0.06</v>
      </c>
      <c r="D1872" s="8">
        <v>89.83</v>
      </c>
      <c r="E1872" s="4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 s="5">
        <v>0.83</v>
      </c>
      <c r="O1872" t="s">
        <v>33</v>
      </c>
      <c r="P1872" t="s">
        <v>136</v>
      </c>
      <c r="Q1872" t="s">
        <v>932</v>
      </c>
      <c r="R1872" t="s">
        <v>2603</v>
      </c>
      <c r="S1872" s="7">
        <v>29203</v>
      </c>
      <c r="T1872" s="3">
        <v>42100</v>
      </c>
      <c r="U1872" s="3">
        <v>42102</v>
      </c>
      <c r="V1872" s="4">
        <v>31.11</v>
      </c>
      <c r="W1872">
        <v>4</v>
      </c>
      <c r="X1872">
        <v>366.26</v>
      </c>
      <c r="Y1872" s="7">
        <v>90766</v>
      </c>
    </row>
    <row r="1873" spans="1:25" ht="12.75" customHeight="1">
      <c r="A1873">
        <v>20040</v>
      </c>
      <c r="B1873" t="s">
        <v>25</v>
      </c>
      <c r="C1873" s="4">
        <v>0.1</v>
      </c>
      <c r="D1873" s="8">
        <v>13.43</v>
      </c>
      <c r="E1873" s="4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 s="5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 s="7">
        <v>29203</v>
      </c>
      <c r="T1873" s="3">
        <v>42100</v>
      </c>
      <c r="U1873" s="3">
        <v>42102</v>
      </c>
      <c r="V1873" s="4">
        <v>358.29539999999997</v>
      </c>
      <c r="W1873">
        <v>12</v>
      </c>
      <c r="X1873">
        <v>157.99</v>
      </c>
      <c r="Y1873" s="7">
        <v>90766</v>
      </c>
    </row>
    <row r="1874" spans="1:25" ht="12.75" customHeight="1">
      <c r="A1874">
        <v>20041</v>
      </c>
      <c r="B1874" t="s">
        <v>25</v>
      </c>
      <c r="C1874" s="4">
        <v>0.01</v>
      </c>
      <c r="D1874" s="8">
        <v>125.99</v>
      </c>
      <c r="E1874" s="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 s="5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 s="7">
        <v>29203</v>
      </c>
      <c r="T1874" s="3">
        <v>42100</v>
      </c>
      <c r="U1874" s="3">
        <v>42100</v>
      </c>
      <c r="V1874" s="4">
        <v>8.3219999999999992</v>
      </c>
      <c r="W1874">
        <v>11</v>
      </c>
      <c r="X1874">
        <v>1212.8800000000001</v>
      </c>
      <c r="Y1874" s="7">
        <v>90766</v>
      </c>
    </row>
    <row r="1875" spans="1:25" ht="12.75" customHeight="1">
      <c r="A1875">
        <v>21620</v>
      </c>
      <c r="B1875" t="s">
        <v>56</v>
      </c>
      <c r="C1875" s="4">
        <v>0.01</v>
      </c>
      <c r="D1875" s="8">
        <v>45.99</v>
      </c>
      <c r="E1875" s="4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 s="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 s="7">
        <v>29203</v>
      </c>
      <c r="T1875" s="3">
        <v>42077</v>
      </c>
      <c r="U1875" s="3">
        <v>42079</v>
      </c>
      <c r="V1875" s="4">
        <v>24.018000000000001</v>
      </c>
      <c r="W1875">
        <v>3</v>
      </c>
      <c r="X1875">
        <v>125.19</v>
      </c>
      <c r="Y1875" s="7">
        <v>90767</v>
      </c>
    </row>
    <row r="1876" spans="1:25" ht="12.75" customHeight="1">
      <c r="A1876">
        <v>23022</v>
      </c>
      <c r="B1876" t="s">
        <v>47</v>
      </c>
      <c r="C1876" s="4">
        <v>0.05</v>
      </c>
      <c r="D1876" s="8">
        <v>363.25</v>
      </c>
      <c r="E1876" s="4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 s="5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 s="7">
        <v>33156</v>
      </c>
      <c r="T1876" s="3">
        <v>42115</v>
      </c>
      <c r="U1876" s="3">
        <v>42115</v>
      </c>
      <c r="V1876" s="4">
        <v>-269.75549999999998</v>
      </c>
      <c r="W1876">
        <v>5</v>
      </c>
      <c r="X1876">
        <v>1867.04</v>
      </c>
      <c r="Y1876" s="7">
        <v>90752</v>
      </c>
    </row>
    <row r="1877" spans="1:25" ht="12.75" customHeight="1">
      <c r="A1877">
        <v>23211</v>
      </c>
      <c r="B1877" t="s">
        <v>25</v>
      </c>
      <c r="C1877" s="4">
        <v>0.03</v>
      </c>
      <c r="D1877" s="8">
        <v>17.48</v>
      </c>
      <c r="E1877" s="4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 s="5">
        <v>0.45</v>
      </c>
      <c r="O1877" t="s">
        <v>33</v>
      </c>
      <c r="P1877" t="s">
        <v>136</v>
      </c>
      <c r="Q1877" t="s">
        <v>362</v>
      </c>
      <c r="R1877" t="s">
        <v>2935</v>
      </c>
      <c r="S1877" s="7">
        <v>33156</v>
      </c>
      <c r="T1877" s="3">
        <v>42134</v>
      </c>
      <c r="U1877" s="3">
        <v>42135</v>
      </c>
      <c r="V1877" s="4">
        <v>710.80739999999992</v>
      </c>
      <c r="W1877">
        <v>31</v>
      </c>
      <c r="X1877">
        <v>537.79999999999995</v>
      </c>
      <c r="Y1877" s="7">
        <v>90753</v>
      </c>
    </row>
    <row r="1878" spans="1:25" ht="12.75" customHeight="1">
      <c r="A1878">
        <v>26141</v>
      </c>
      <c r="B1878" t="s">
        <v>25</v>
      </c>
      <c r="C1878" s="4">
        <v>0.05</v>
      </c>
      <c r="D1878" s="8">
        <v>19.23</v>
      </c>
      <c r="E1878" s="4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 s="5">
        <v>0.44</v>
      </c>
      <c r="O1878" t="s">
        <v>33</v>
      </c>
      <c r="P1878" t="s">
        <v>136</v>
      </c>
      <c r="Q1878" t="s">
        <v>362</v>
      </c>
      <c r="R1878" t="s">
        <v>2937</v>
      </c>
      <c r="S1878" s="7">
        <v>34741</v>
      </c>
      <c r="T1878" s="3">
        <v>42055</v>
      </c>
      <c r="U1878" s="3">
        <v>42057</v>
      </c>
      <c r="V1878" s="4">
        <v>-2133.2780000000002</v>
      </c>
      <c r="W1878">
        <v>6</v>
      </c>
      <c r="X1878">
        <v>119.78</v>
      </c>
      <c r="Y1878" s="7">
        <v>90751</v>
      </c>
    </row>
    <row r="1879" spans="1:25" ht="12.75" customHeight="1">
      <c r="A1879">
        <v>20350</v>
      </c>
      <c r="B1879" t="s">
        <v>37</v>
      </c>
      <c r="C1879" s="4">
        <v>0.06</v>
      </c>
      <c r="D1879" s="8">
        <v>1.7</v>
      </c>
      <c r="E1879" s="4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 s="5">
        <v>0.51</v>
      </c>
      <c r="O1879" t="s">
        <v>33</v>
      </c>
      <c r="P1879" t="s">
        <v>136</v>
      </c>
      <c r="Q1879" t="s">
        <v>137</v>
      </c>
      <c r="R1879" t="s">
        <v>2939</v>
      </c>
      <c r="S1879" s="7">
        <v>20170</v>
      </c>
      <c r="T1879" s="3">
        <v>42010</v>
      </c>
      <c r="U1879" s="3">
        <v>42011</v>
      </c>
      <c r="V1879" s="4">
        <v>80.071200000000005</v>
      </c>
      <c r="W1879">
        <v>7</v>
      </c>
      <c r="X1879">
        <v>12.15</v>
      </c>
      <c r="Y1879" s="7">
        <v>90750</v>
      </c>
    </row>
    <row r="1880" spans="1:25" ht="12.75" customHeight="1">
      <c r="A1880">
        <v>20351</v>
      </c>
      <c r="B1880" t="s">
        <v>37</v>
      </c>
      <c r="C1880" s="4">
        <v>0.01</v>
      </c>
      <c r="D1880" s="8">
        <v>30.98</v>
      </c>
      <c r="E1880" s="4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 s="5">
        <v>0.4</v>
      </c>
      <c r="O1880" t="s">
        <v>33</v>
      </c>
      <c r="P1880" t="s">
        <v>136</v>
      </c>
      <c r="Q1880" t="s">
        <v>137</v>
      </c>
      <c r="R1880" t="s">
        <v>2939</v>
      </c>
      <c r="S1880" s="7">
        <v>20170</v>
      </c>
      <c r="T1880" s="3">
        <v>42010</v>
      </c>
      <c r="U1880" s="3">
        <v>42012</v>
      </c>
      <c r="V1880" s="4">
        <v>896.40599999999995</v>
      </c>
      <c r="W1880">
        <v>9</v>
      </c>
      <c r="X1880">
        <v>288.42</v>
      </c>
      <c r="Y1880" s="7">
        <v>90750</v>
      </c>
    </row>
    <row r="1881" spans="1:25" ht="12.75" customHeight="1">
      <c r="A1881">
        <v>21567</v>
      </c>
      <c r="B1881" t="s">
        <v>106</v>
      </c>
      <c r="C1881" s="4">
        <v>0.08</v>
      </c>
      <c r="D1881" s="8">
        <v>30.56</v>
      </c>
      <c r="E1881" s="4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 s="5">
        <v>0.35</v>
      </c>
      <c r="O1881" t="s">
        <v>33</v>
      </c>
      <c r="P1881" t="s">
        <v>34</v>
      </c>
      <c r="Q1881" t="s">
        <v>45</v>
      </c>
      <c r="R1881" t="s">
        <v>2942</v>
      </c>
      <c r="S1881" s="7">
        <v>95746</v>
      </c>
      <c r="T1881" s="3">
        <v>42149</v>
      </c>
      <c r="U1881" s="3">
        <v>42151</v>
      </c>
      <c r="V1881" s="4">
        <v>352.87979999999999</v>
      </c>
      <c r="W1881">
        <v>17</v>
      </c>
      <c r="X1881">
        <v>511.42</v>
      </c>
      <c r="Y1881" s="7">
        <v>89897</v>
      </c>
    </row>
    <row r="1882" spans="1:25" ht="12.75" customHeight="1">
      <c r="A1882">
        <v>23198</v>
      </c>
      <c r="B1882" t="s">
        <v>106</v>
      </c>
      <c r="C1882" s="4">
        <v>0.04</v>
      </c>
      <c r="D1882" s="8">
        <v>33.89</v>
      </c>
      <c r="E1882" s="4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 s="5">
        <v>0.6</v>
      </c>
      <c r="O1882" t="s">
        <v>33</v>
      </c>
      <c r="P1882" t="s">
        <v>136</v>
      </c>
      <c r="Q1882" t="s">
        <v>362</v>
      </c>
      <c r="R1882" t="s">
        <v>2944</v>
      </c>
      <c r="S1882" s="7">
        <v>33461</v>
      </c>
      <c r="T1882" s="3">
        <v>42011</v>
      </c>
      <c r="U1882" s="3">
        <v>42016</v>
      </c>
      <c r="V1882" s="4">
        <v>68.675999999999988</v>
      </c>
      <c r="W1882">
        <v>6</v>
      </c>
      <c r="X1882">
        <v>200.64</v>
      </c>
      <c r="Y1882" s="7">
        <v>87795</v>
      </c>
    </row>
    <row r="1883" spans="1:25" ht="12.75" customHeight="1">
      <c r="A1883">
        <v>20447</v>
      </c>
      <c r="B1883" t="s">
        <v>56</v>
      </c>
      <c r="C1883" s="4">
        <v>0.06</v>
      </c>
      <c r="D1883" s="8">
        <v>11.33</v>
      </c>
      <c r="E1883" s="4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 s="5">
        <v>0.42</v>
      </c>
      <c r="O1883" t="s">
        <v>33</v>
      </c>
      <c r="P1883" t="s">
        <v>53</v>
      </c>
      <c r="Q1883" t="s">
        <v>228</v>
      </c>
      <c r="R1883" t="s">
        <v>2946</v>
      </c>
      <c r="S1883" s="7">
        <v>6320</v>
      </c>
      <c r="T1883" s="3">
        <v>42095</v>
      </c>
      <c r="U1883" s="3">
        <v>42097</v>
      </c>
      <c r="V1883" s="4">
        <v>-15.92</v>
      </c>
      <c r="W1883">
        <v>1</v>
      </c>
      <c r="X1883">
        <v>17.62</v>
      </c>
      <c r="Y1883" s="7">
        <v>90461</v>
      </c>
    </row>
    <row r="1884" spans="1:25" ht="12.75" customHeight="1">
      <c r="A1884">
        <v>22732</v>
      </c>
      <c r="B1884" t="s">
        <v>106</v>
      </c>
      <c r="C1884" s="4">
        <v>7.0000000000000007E-2</v>
      </c>
      <c r="D1884" s="8">
        <v>16.739999999999998</v>
      </c>
      <c r="E1884" s="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 s="5">
        <v>0.81</v>
      </c>
      <c r="O1884" t="s">
        <v>33</v>
      </c>
      <c r="P1884" t="s">
        <v>53</v>
      </c>
      <c r="Q1884" t="s">
        <v>193</v>
      </c>
      <c r="R1884" t="s">
        <v>2949</v>
      </c>
      <c r="S1884" s="7">
        <v>1001</v>
      </c>
      <c r="T1884" s="3">
        <v>42030</v>
      </c>
      <c r="U1884" s="3">
        <v>42037</v>
      </c>
      <c r="V1884" s="4">
        <v>-114.2</v>
      </c>
      <c r="W1884">
        <v>5</v>
      </c>
      <c r="X1884">
        <v>80.58</v>
      </c>
      <c r="Y1884" s="7">
        <v>90462</v>
      </c>
    </row>
    <row r="1885" spans="1:25" ht="12.75" customHeight="1">
      <c r="A1885">
        <v>23451</v>
      </c>
      <c r="B1885" t="s">
        <v>47</v>
      </c>
      <c r="C1885" s="4">
        <v>0.1</v>
      </c>
      <c r="D1885" s="8">
        <v>6.64</v>
      </c>
      <c r="E1885" s="4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 s="5">
        <v>0.37</v>
      </c>
      <c r="O1885" t="s">
        <v>33</v>
      </c>
      <c r="P1885" t="s">
        <v>53</v>
      </c>
      <c r="Q1885" t="s">
        <v>193</v>
      </c>
      <c r="R1885" t="s">
        <v>2952</v>
      </c>
      <c r="S1885" s="7">
        <v>1760</v>
      </c>
      <c r="T1885" s="3">
        <v>42087</v>
      </c>
      <c r="U1885" s="3">
        <v>42089</v>
      </c>
      <c r="V1885" s="4">
        <v>-25</v>
      </c>
      <c r="W1885">
        <v>4</v>
      </c>
      <c r="X1885">
        <v>25.31</v>
      </c>
      <c r="Y1885" s="7">
        <v>90460</v>
      </c>
    </row>
    <row r="1886" spans="1:25" ht="12.75" customHeight="1">
      <c r="A1886">
        <v>23452</v>
      </c>
      <c r="B1886" t="s">
        <v>47</v>
      </c>
      <c r="C1886" s="4">
        <v>0.05</v>
      </c>
      <c r="D1886" s="8">
        <v>90.48</v>
      </c>
      <c r="E1886" s="4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 s="5">
        <v>0.4</v>
      </c>
      <c r="O1886" t="s">
        <v>33</v>
      </c>
      <c r="P1886" t="s">
        <v>53</v>
      </c>
      <c r="Q1886" t="s">
        <v>193</v>
      </c>
      <c r="R1886" t="s">
        <v>2954</v>
      </c>
      <c r="S1886" s="7">
        <v>2563</v>
      </c>
      <c r="T1886" s="3">
        <v>42087</v>
      </c>
      <c r="U1886" s="3">
        <v>42088</v>
      </c>
      <c r="V1886" s="4">
        <v>255.14819999999997</v>
      </c>
      <c r="W1886">
        <v>4</v>
      </c>
      <c r="X1886">
        <v>369.78</v>
      </c>
      <c r="Y1886" s="7">
        <v>90460</v>
      </c>
    </row>
    <row r="1887" spans="1:25" ht="12.75" customHeight="1">
      <c r="A1887">
        <v>22734</v>
      </c>
      <c r="B1887" t="s">
        <v>106</v>
      </c>
      <c r="C1887" s="4">
        <v>0.06</v>
      </c>
      <c r="D1887" s="8">
        <v>6.45</v>
      </c>
      <c r="E1887" s="4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 s="5">
        <v>0.36</v>
      </c>
      <c r="O1887" t="s">
        <v>33</v>
      </c>
      <c r="P1887" t="s">
        <v>53</v>
      </c>
      <c r="Q1887" t="s">
        <v>193</v>
      </c>
      <c r="R1887" t="s">
        <v>2482</v>
      </c>
      <c r="S1887" s="7">
        <v>1890</v>
      </c>
      <c r="T1887" s="3">
        <v>42030</v>
      </c>
      <c r="U1887" s="3">
        <v>42035</v>
      </c>
      <c r="V1887" s="4">
        <v>39.426600000000001</v>
      </c>
      <c r="W1887">
        <v>9</v>
      </c>
      <c r="X1887">
        <v>57.14</v>
      </c>
      <c r="Y1887" s="7">
        <v>90462</v>
      </c>
    </row>
    <row r="1888" spans="1:25" ht="12.75" customHeight="1">
      <c r="A1888">
        <v>22733</v>
      </c>
      <c r="B1888" t="s">
        <v>106</v>
      </c>
      <c r="C1888" s="4">
        <v>0.05</v>
      </c>
      <c r="D1888" s="8">
        <v>122.99</v>
      </c>
      <c r="E1888" s="4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 s="5">
        <v>0.74</v>
      </c>
      <c r="O1888" t="s">
        <v>33</v>
      </c>
      <c r="P1888" t="s">
        <v>53</v>
      </c>
      <c r="Q1888" t="s">
        <v>54</v>
      </c>
      <c r="R1888" t="s">
        <v>273</v>
      </c>
      <c r="S1888" s="7">
        <v>7024</v>
      </c>
      <c r="T1888" s="3">
        <v>42030</v>
      </c>
      <c r="U1888" s="3">
        <v>42034</v>
      </c>
      <c r="V1888" s="4">
        <v>-722.23</v>
      </c>
      <c r="W1888">
        <v>4</v>
      </c>
      <c r="X1888">
        <v>498.31</v>
      </c>
      <c r="Y1888" s="7">
        <v>90462</v>
      </c>
    </row>
    <row r="1889" spans="1:25" ht="12.75" customHeight="1">
      <c r="A1889">
        <v>19422</v>
      </c>
      <c r="B1889" t="s">
        <v>106</v>
      </c>
      <c r="C1889" s="4">
        <v>0.03</v>
      </c>
      <c r="D1889" s="8">
        <v>20.98</v>
      </c>
      <c r="E1889" s="4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 s="5">
        <v>0.35</v>
      </c>
      <c r="O1889" t="s">
        <v>33</v>
      </c>
      <c r="P1889" t="s">
        <v>136</v>
      </c>
      <c r="Q1889" t="s">
        <v>244</v>
      </c>
      <c r="R1889" t="s">
        <v>2894</v>
      </c>
      <c r="S1889" s="7">
        <v>37075</v>
      </c>
      <c r="T1889" s="3">
        <v>42145</v>
      </c>
      <c r="U1889" s="3">
        <v>42145</v>
      </c>
      <c r="V1889" s="4">
        <v>30.023999999999997</v>
      </c>
      <c r="W1889">
        <v>20</v>
      </c>
      <c r="X1889">
        <v>431.43</v>
      </c>
      <c r="Y1889" s="7">
        <v>90104</v>
      </c>
    </row>
    <row r="1890" spans="1:25" ht="12.75" customHeight="1">
      <c r="A1890">
        <v>20203</v>
      </c>
      <c r="B1890" t="s">
        <v>37</v>
      </c>
      <c r="C1890" s="4">
        <v>0.08</v>
      </c>
      <c r="D1890" s="8">
        <v>3.28</v>
      </c>
      <c r="E1890" s="4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 s="5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 s="7">
        <v>38301</v>
      </c>
      <c r="T1890" s="3">
        <v>42121</v>
      </c>
      <c r="U1890" s="3">
        <v>42122</v>
      </c>
      <c r="V1890" s="4">
        <v>0.42660000000000337</v>
      </c>
      <c r="W1890">
        <v>18</v>
      </c>
      <c r="X1890">
        <v>57.24</v>
      </c>
      <c r="Y1890" s="7">
        <v>90103</v>
      </c>
    </row>
    <row r="1891" spans="1:25" ht="12.75" customHeight="1">
      <c r="A1891">
        <v>20204</v>
      </c>
      <c r="B1891" t="s">
        <v>37</v>
      </c>
      <c r="C1891" s="4">
        <v>0.09</v>
      </c>
      <c r="D1891" s="8">
        <v>40.97</v>
      </c>
      <c r="E1891" s="4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 s="5">
        <v>0.59</v>
      </c>
      <c r="O1891" t="s">
        <v>33</v>
      </c>
      <c r="P1891" t="s">
        <v>136</v>
      </c>
      <c r="Q1891" t="s">
        <v>244</v>
      </c>
      <c r="R1891" t="s">
        <v>1644</v>
      </c>
      <c r="S1891" s="7">
        <v>38301</v>
      </c>
      <c r="T1891" s="3">
        <v>42121</v>
      </c>
      <c r="U1891" s="3">
        <v>42123</v>
      </c>
      <c r="V1891" s="4">
        <v>66.215999999999994</v>
      </c>
      <c r="W1891">
        <v>22</v>
      </c>
      <c r="X1891">
        <v>824.7</v>
      </c>
      <c r="Y1891" s="7">
        <v>90103</v>
      </c>
    </row>
    <row r="1892" spans="1:25">
      <c r="A1892">
        <v>25330</v>
      </c>
      <c r="B1892" t="s">
        <v>56</v>
      </c>
      <c r="C1892" s="4">
        <v>0.05</v>
      </c>
      <c r="D1892" s="8">
        <v>6.48</v>
      </c>
      <c r="E1892" s="4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 s="5">
        <v>0.37</v>
      </c>
      <c r="O1892" t="s">
        <v>33</v>
      </c>
      <c r="P1892" t="s">
        <v>34</v>
      </c>
      <c r="Q1892" t="s">
        <v>378</v>
      </c>
      <c r="R1892" t="s">
        <v>2960</v>
      </c>
      <c r="S1892" s="7">
        <v>85335</v>
      </c>
      <c r="T1892" s="3">
        <v>42047</v>
      </c>
      <c r="U1892" s="3">
        <v>42050</v>
      </c>
      <c r="V1892" s="4">
        <v>-164.18</v>
      </c>
      <c r="W1892">
        <v>9</v>
      </c>
      <c r="X1892">
        <v>58.5</v>
      </c>
      <c r="Y1892" s="7">
        <v>90985</v>
      </c>
    </row>
    <row r="1893" spans="1:25" ht="12.75" customHeight="1">
      <c r="A1893">
        <v>20488</v>
      </c>
      <c r="B1893" t="s">
        <v>106</v>
      </c>
      <c r="C1893" s="4">
        <v>0</v>
      </c>
      <c r="D1893" s="8">
        <v>8.74</v>
      </c>
      <c r="E1893" s="4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 s="5">
        <v>0.38</v>
      </c>
      <c r="O1893" t="s">
        <v>33</v>
      </c>
      <c r="P1893" t="s">
        <v>34</v>
      </c>
      <c r="Q1893" t="s">
        <v>102</v>
      </c>
      <c r="R1893" t="s">
        <v>1393</v>
      </c>
      <c r="S1893" s="7">
        <v>97420</v>
      </c>
      <c r="T1893" s="3">
        <v>42179</v>
      </c>
      <c r="U1893" s="3">
        <v>42181</v>
      </c>
      <c r="V1893" s="4">
        <v>-79.400000000000006</v>
      </c>
      <c r="W1893">
        <v>14</v>
      </c>
      <c r="X1893">
        <v>131.62</v>
      </c>
      <c r="Y1893" s="7">
        <v>90986</v>
      </c>
    </row>
    <row r="1894" spans="1:25" ht="12.75" customHeight="1">
      <c r="A1894">
        <v>23476</v>
      </c>
      <c r="B1894" t="s">
        <v>47</v>
      </c>
      <c r="C1894" s="4">
        <v>7.0000000000000007E-2</v>
      </c>
      <c r="D1894" s="8">
        <v>5.58</v>
      </c>
      <c r="E1894" s="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 s="5">
        <v>0.46</v>
      </c>
      <c r="O1894" t="s">
        <v>33</v>
      </c>
      <c r="P1894" t="s">
        <v>34</v>
      </c>
      <c r="Q1894" t="s">
        <v>102</v>
      </c>
      <c r="R1894" t="s">
        <v>1393</v>
      </c>
      <c r="S1894" s="7">
        <v>97420</v>
      </c>
      <c r="T1894" s="3">
        <v>42118</v>
      </c>
      <c r="U1894" s="3">
        <v>42120</v>
      </c>
      <c r="V1894" s="4">
        <v>23.045999999999999</v>
      </c>
      <c r="W1894">
        <v>23</v>
      </c>
      <c r="X1894">
        <v>121.46</v>
      </c>
      <c r="Y1894" s="7">
        <v>90987</v>
      </c>
    </row>
    <row r="1895" spans="1:25" ht="12.75" customHeight="1">
      <c r="A1895">
        <v>18259</v>
      </c>
      <c r="B1895" t="s">
        <v>37</v>
      </c>
      <c r="C1895" s="4">
        <v>0.06</v>
      </c>
      <c r="D1895" s="8">
        <v>113.98</v>
      </c>
      <c r="E1895" s="4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 s="5">
        <v>0.69</v>
      </c>
      <c r="O1895" t="s">
        <v>33</v>
      </c>
      <c r="P1895" t="s">
        <v>61</v>
      </c>
      <c r="Q1895" t="s">
        <v>300</v>
      </c>
      <c r="R1895" t="s">
        <v>2722</v>
      </c>
      <c r="S1895" s="7">
        <v>48060</v>
      </c>
      <c r="T1895" s="3">
        <v>42069</v>
      </c>
      <c r="U1895" s="3">
        <v>42071</v>
      </c>
      <c r="V1895" s="4">
        <v>-127.3</v>
      </c>
      <c r="W1895">
        <v>3</v>
      </c>
      <c r="X1895">
        <v>356.14</v>
      </c>
      <c r="Y1895" s="7">
        <v>87272</v>
      </c>
    </row>
    <row r="1896" spans="1:25" ht="12.75" customHeight="1">
      <c r="A1896">
        <v>18260</v>
      </c>
      <c r="B1896" t="s">
        <v>37</v>
      </c>
      <c r="C1896" s="4">
        <v>0.05</v>
      </c>
      <c r="D1896" s="8">
        <v>6.48</v>
      </c>
      <c r="E1896" s="4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 s="5">
        <v>0.37</v>
      </c>
      <c r="O1896" t="s">
        <v>33</v>
      </c>
      <c r="P1896" t="s">
        <v>61</v>
      </c>
      <c r="Q1896" t="s">
        <v>300</v>
      </c>
      <c r="R1896" t="s">
        <v>2722</v>
      </c>
      <c r="S1896" s="7">
        <v>48060</v>
      </c>
      <c r="T1896" s="3">
        <v>42069</v>
      </c>
      <c r="U1896" s="3">
        <v>42071</v>
      </c>
      <c r="V1896" s="4">
        <v>-52.77</v>
      </c>
      <c r="W1896">
        <v>4</v>
      </c>
      <c r="X1896">
        <v>27.08</v>
      </c>
      <c r="Y1896" s="7">
        <v>87272</v>
      </c>
    </row>
    <row r="1897" spans="1:25" ht="12.75" customHeight="1">
      <c r="A1897">
        <v>21588</v>
      </c>
      <c r="B1897" t="s">
        <v>56</v>
      </c>
      <c r="C1897" s="4">
        <v>0.09</v>
      </c>
      <c r="D1897" s="8">
        <v>5.98</v>
      </c>
      <c r="E1897" s="4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 s="5">
        <v>0.68</v>
      </c>
      <c r="O1897" t="s">
        <v>33</v>
      </c>
      <c r="P1897" t="s">
        <v>136</v>
      </c>
      <c r="Q1897" t="s">
        <v>362</v>
      </c>
      <c r="R1897" t="s">
        <v>2966</v>
      </c>
      <c r="S1897" s="7">
        <v>32174</v>
      </c>
      <c r="T1897" s="3">
        <v>42009</v>
      </c>
      <c r="U1897" s="3">
        <v>42010</v>
      </c>
      <c r="V1897" s="4">
        <v>-781.13419999999996</v>
      </c>
      <c r="W1897">
        <v>11</v>
      </c>
      <c r="X1897">
        <v>65.849999999999994</v>
      </c>
      <c r="Y1897" s="7">
        <v>86283</v>
      </c>
    </row>
    <row r="1898" spans="1:25" ht="12.75" customHeight="1">
      <c r="A1898">
        <v>23294</v>
      </c>
      <c r="B1898" t="s">
        <v>37</v>
      </c>
      <c r="C1898" s="4">
        <v>0.02</v>
      </c>
      <c r="D1898" s="8">
        <v>4</v>
      </c>
      <c r="E1898" s="4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 s="5">
        <v>0.37</v>
      </c>
      <c r="O1898" t="s">
        <v>33</v>
      </c>
      <c r="P1898" t="s">
        <v>136</v>
      </c>
      <c r="Q1898" t="s">
        <v>362</v>
      </c>
      <c r="R1898" t="s">
        <v>2966</v>
      </c>
      <c r="S1898" s="7">
        <v>32174</v>
      </c>
      <c r="T1898" s="3">
        <v>42013</v>
      </c>
      <c r="U1898" s="3">
        <v>42013</v>
      </c>
      <c r="V1898" s="4">
        <v>-23.295999999999999</v>
      </c>
      <c r="W1898">
        <v>12</v>
      </c>
      <c r="X1898">
        <v>50.71</v>
      </c>
      <c r="Y1898" s="7">
        <v>86284</v>
      </c>
    </row>
    <row r="1899" spans="1:25" ht="12.75" customHeight="1">
      <c r="A1899">
        <v>21429</v>
      </c>
      <c r="B1899" t="s">
        <v>25</v>
      </c>
      <c r="C1899" s="4">
        <v>0.08</v>
      </c>
      <c r="D1899" s="8">
        <v>6.48</v>
      </c>
      <c r="E1899" s="4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 s="5">
        <v>0.37</v>
      </c>
      <c r="O1899" t="s">
        <v>33</v>
      </c>
      <c r="P1899" t="s">
        <v>136</v>
      </c>
      <c r="Q1899" t="s">
        <v>362</v>
      </c>
      <c r="R1899" t="s">
        <v>2968</v>
      </c>
      <c r="S1899" s="7">
        <v>33614</v>
      </c>
      <c r="T1899" s="3">
        <v>42131</v>
      </c>
      <c r="U1899" s="3">
        <v>42131</v>
      </c>
      <c r="V1899" s="4">
        <v>58.811999999999998</v>
      </c>
      <c r="W1899">
        <v>7</v>
      </c>
      <c r="X1899">
        <v>45</v>
      </c>
      <c r="Y1899" s="7">
        <v>85979</v>
      </c>
    </row>
    <row r="1900" spans="1:25" ht="12.75" customHeight="1">
      <c r="A1900">
        <v>25613</v>
      </c>
      <c r="B1900" t="s">
        <v>25</v>
      </c>
      <c r="C1900" s="4">
        <v>0.03</v>
      </c>
      <c r="D1900" s="8">
        <v>2.61</v>
      </c>
      <c r="E1900" s="4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 s="5">
        <v>0.39</v>
      </c>
      <c r="O1900" t="s">
        <v>33</v>
      </c>
      <c r="P1900" t="s">
        <v>136</v>
      </c>
      <c r="Q1900" t="s">
        <v>362</v>
      </c>
      <c r="R1900" t="s">
        <v>2970</v>
      </c>
      <c r="S1900" s="7">
        <v>32780</v>
      </c>
      <c r="T1900" s="3">
        <v>42169</v>
      </c>
      <c r="U1900" s="3">
        <v>42170</v>
      </c>
      <c r="V1900" s="4">
        <v>4.0442999999999998</v>
      </c>
      <c r="W1900">
        <v>7</v>
      </c>
      <c r="X1900">
        <v>19.02</v>
      </c>
      <c r="Y1900" s="7">
        <v>85981</v>
      </c>
    </row>
    <row r="1901" spans="1:25" ht="12.75" customHeight="1">
      <c r="A1901">
        <v>25614</v>
      </c>
      <c r="B1901" t="s">
        <v>25</v>
      </c>
      <c r="C1901" s="4">
        <v>0.01</v>
      </c>
      <c r="D1901" s="8">
        <v>11.66</v>
      </c>
      <c r="E1901" s="4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 s="5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 s="7">
        <v>32780</v>
      </c>
      <c r="T1901" s="3">
        <v>42169</v>
      </c>
      <c r="U1901" s="3">
        <v>42170</v>
      </c>
      <c r="V1901" s="4">
        <v>-10.368400000000001</v>
      </c>
      <c r="W1901">
        <v>16</v>
      </c>
      <c r="X1901">
        <v>193.87</v>
      </c>
      <c r="Y1901" s="7">
        <v>85981</v>
      </c>
    </row>
    <row r="1902" spans="1:25" ht="12.75" customHeight="1">
      <c r="A1902">
        <v>22857</v>
      </c>
      <c r="B1902" t="s">
        <v>56</v>
      </c>
      <c r="C1902" s="4">
        <v>0.08</v>
      </c>
      <c r="D1902" s="8">
        <v>125.99</v>
      </c>
      <c r="E1902" s="4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 s="5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 s="7">
        <v>97060</v>
      </c>
      <c r="T1902" s="3">
        <v>42017</v>
      </c>
      <c r="U1902" s="3">
        <v>42018</v>
      </c>
      <c r="V1902" s="4">
        <v>989.81189999999992</v>
      </c>
      <c r="W1902">
        <v>14</v>
      </c>
      <c r="X1902">
        <v>1434.51</v>
      </c>
      <c r="Y1902" s="7">
        <v>85980</v>
      </c>
    </row>
    <row r="1903" spans="1:25" ht="12.75" customHeight="1">
      <c r="A1903">
        <v>2986</v>
      </c>
      <c r="B1903" t="s">
        <v>47</v>
      </c>
      <c r="C1903" s="4">
        <v>0.03</v>
      </c>
      <c r="D1903" s="8">
        <v>194.3</v>
      </c>
      <c r="E1903" s="4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 s="5">
        <v>0.59</v>
      </c>
      <c r="O1903" t="s">
        <v>33</v>
      </c>
      <c r="P1903" t="s">
        <v>53</v>
      </c>
      <c r="Q1903" t="s">
        <v>1008</v>
      </c>
      <c r="R1903" t="s">
        <v>35</v>
      </c>
      <c r="S1903" s="7">
        <v>20006</v>
      </c>
      <c r="T1903" s="3">
        <v>42048</v>
      </c>
      <c r="U1903" s="3">
        <v>42050</v>
      </c>
      <c r="V1903" s="4">
        <v>2861.01</v>
      </c>
      <c r="W1903">
        <v>42</v>
      </c>
      <c r="X1903">
        <v>8549.0400000000009</v>
      </c>
      <c r="Y1903" s="7">
        <v>21572</v>
      </c>
    </row>
    <row r="1904" spans="1:25" ht="12.75" customHeight="1">
      <c r="A1904">
        <v>20986</v>
      </c>
      <c r="B1904" t="s">
        <v>47</v>
      </c>
      <c r="C1904" s="4">
        <v>0.03</v>
      </c>
      <c r="D1904" s="8">
        <v>194.3</v>
      </c>
      <c r="E1904" s="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 s="5">
        <v>0.59</v>
      </c>
      <c r="O1904" t="s">
        <v>33</v>
      </c>
      <c r="P1904" t="s">
        <v>61</v>
      </c>
      <c r="Q1904" t="s">
        <v>300</v>
      </c>
      <c r="R1904" t="s">
        <v>2976</v>
      </c>
      <c r="S1904" s="7">
        <v>48307</v>
      </c>
      <c r="T1904" s="3">
        <v>42048</v>
      </c>
      <c r="U1904" s="3">
        <v>42050</v>
      </c>
      <c r="V1904" s="4">
        <v>1544.9307000000001</v>
      </c>
      <c r="W1904">
        <v>11</v>
      </c>
      <c r="X1904">
        <v>2239.0300000000002</v>
      </c>
      <c r="Y1904" s="7">
        <v>89928</v>
      </c>
    </row>
    <row r="1905" spans="1:25" ht="12.75" customHeight="1">
      <c r="A1905">
        <v>18947</v>
      </c>
      <c r="B1905" t="s">
        <v>56</v>
      </c>
      <c r="C1905" s="4">
        <v>7.0000000000000007E-2</v>
      </c>
      <c r="D1905" s="8">
        <v>7.68</v>
      </c>
      <c r="E1905" s="4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 s="5">
        <v>0.35</v>
      </c>
      <c r="O1905" t="s">
        <v>33</v>
      </c>
      <c r="P1905" t="s">
        <v>136</v>
      </c>
      <c r="Q1905" t="s">
        <v>362</v>
      </c>
      <c r="R1905" t="s">
        <v>2979</v>
      </c>
      <c r="S1905" s="7">
        <v>33411</v>
      </c>
      <c r="T1905" s="3">
        <v>42010</v>
      </c>
      <c r="U1905" s="3">
        <v>42012</v>
      </c>
      <c r="V1905" s="4">
        <v>125.9982</v>
      </c>
      <c r="W1905">
        <v>1</v>
      </c>
      <c r="X1905">
        <v>22.13</v>
      </c>
      <c r="Y1905" s="7">
        <v>89355</v>
      </c>
    </row>
    <row r="1906" spans="1:25" ht="12.75" customHeight="1">
      <c r="A1906">
        <v>18948</v>
      </c>
      <c r="B1906" t="s">
        <v>56</v>
      </c>
      <c r="C1906" s="4">
        <v>0.05</v>
      </c>
      <c r="D1906" s="8">
        <v>6.64</v>
      </c>
      <c r="E1906" s="4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 s="5">
        <v>0.37</v>
      </c>
      <c r="O1906" t="s">
        <v>33</v>
      </c>
      <c r="P1906" t="s">
        <v>136</v>
      </c>
      <c r="Q1906" t="s">
        <v>362</v>
      </c>
      <c r="R1906" t="s">
        <v>2979</v>
      </c>
      <c r="S1906" s="7">
        <v>33411</v>
      </c>
      <c r="T1906" s="3">
        <v>42010</v>
      </c>
      <c r="U1906" s="3">
        <v>42012</v>
      </c>
      <c r="V1906" s="4">
        <v>-92.929200000000009</v>
      </c>
      <c r="W1906">
        <v>5</v>
      </c>
      <c r="X1906">
        <v>34.17</v>
      </c>
      <c r="Y1906" s="7">
        <v>89355</v>
      </c>
    </row>
    <row r="1907" spans="1:25" ht="12.75" customHeight="1">
      <c r="A1907">
        <v>19461</v>
      </c>
      <c r="B1907" t="s">
        <v>56</v>
      </c>
      <c r="C1907" s="4">
        <v>0.02</v>
      </c>
      <c r="D1907" s="8">
        <v>110.99</v>
      </c>
      <c r="E1907" s="4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 s="5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 s="7">
        <v>33411</v>
      </c>
      <c r="T1907" s="3">
        <v>42031</v>
      </c>
      <c r="U1907" s="3">
        <v>42033</v>
      </c>
      <c r="V1907" s="4">
        <v>-39.808999999999997</v>
      </c>
      <c r="W1907">
        <v>1</v>
      </c>
      <c r="X1907">
        <v>94.3</v>
      </c>
      <c r="Y1907" s="7">
        <v>89356</v>
      </c>
    </row>
    <row r="1908" spans="1:25" ht="12.75" customHeight="1">
      <c r="A1908">
        <v>21485</v>
      </c>
      <c r="B1908" t="s">
        <v>56</v>
      </c>
      <c r="C1908" s="4">
        <v>0.01</v>
      </c>
      <c r="D1908" s="8">
        <v>73.98</v>
      </c>
      <c r="E1908" s="4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 s="5">
        <v>0.67</v>
      </c>
      <c r="O1908" t="s">
        <v>33</v>
      </c>
      <c r="P1908" t="s">
        <v>34</v>
      </c>
      <c r="Q1908" t="s">
        <v>35</v>
      </c>
      <c r="R1908" t="s">
        <v>2981</v>
      </c>
      <c r="S1908" s="7">
        <v>98444</v>
      </c>
      <c r="T1908" s="3">
        <v>42027</v>
      </c>
      <c r="U1908" s="3">
        <v>42029</v>
      </c>
      <c r="V1908" s="4">
        <v>-29.065600000000003</v>
      </c>
      <c r="W1908">
        <v>5</v>
      </c>
      <c r="X1908">
        <v>384.22</v>
      </c>
      <c r="Y1908" s="7">
        <v>91296</v>
      </c>
    </row>
    <row r="1909" spans="1:25" ht="12.75" customHeight="1">
      <c r="A1909">
        <v>23248</v>
      </c>
      <c r="B1909" t="s">
        <v>47</v>
      </c>
      <c r="C1909" s="4">
        <v>0.1</v>
      </c>
      <c r="D1909" s="8">
        <v>10.89</v>
      </c>
      <c r="E1909" s="4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 s="5">
        <v>0.59</v>
      </c>
      <c r="O1909" t="s">
        <v>33</v>
      </c>
      <c r="P1909" t="s">
        <v>34</v>
      </c>
      <c r="Q1909" t="s">
        <v>35</v>
      </c>
      <c r="R1909" t="s">
        <v>2983</v>
      </c>
      <c r="S1909" s="7">
        <v>99301</v>
      </c>
      <c r="T1909" s="3">
        <v>42039</v>
      </c>
      <c r="U1909" s="3">
        <v>42041</v>
      </c>
      <c r="V1909" s="4">
        <v>-19.2972</v>
      </c>
      <c r="W1909">
        <v>17</v>
      </c>
      <c r="X1909">
        <v>178.68</v>
      </c>
      <c r="Y1909" s="7">
        <v>91297</v>
      </c>
    </row>
    <row r="1910" spans="1:25" ht="12.75" customHeight="1">
      <c r="A1910">
        <v>23474</v>
      </c>
      <c r="B1910" t="s">
        <v>25</v>
      </c>
      <c r="C1910" s="4">
        <v>0.06</v>
      </c>
      <c r="D1910" s="8">
        <v>6.7</v>
      </c>
      <c r="E1910" s="4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 s="5">
        <v>0.52</v>
      </c>
      <c r="O1910" t="s">
        <v>33</v>
      </c>
      <c r="P1910" t="s">
        <v>34</v>
      </c>
      <c r="Q1910" t="s">
        <v>35</v>
      </c>
      <c r="R1910" t="s">
        <v>2983</v>
      </c>
      <c r="S1910" s="7">
        <v>99301</v>
      </c>
      <c r="T1910" s="3">
        <v>42042</v>
      </c>
      <c r="U1910" s="3">
        <v>42044</v>
      </c>
      <c r="V1910" s="4">
        <v>40.6556</v>
      </c>
      <c r="W1910">
        <v>12</v>
      </c>
      <c r="X1910">
        <v>79.39</v>
      </c>
      <c r="Y1910" s="7">
        <v>91298</v>
      </c>
    </row>
    <row r="1911" spans="1:25" ht="12.75" customHeight="1">
      <c r="A1911">
        <v>19838</v>
      </c>
      <c r="B1911" t="s">
        <v>25</v>
      </c>
      <c r="C1911" s="4">
        <v>0.03</v>
      </c>
      <c r="D1911" s="8">
        <v>28.53</v>
      </c>
      <c r="E1911" s="4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 s="5">
        <v>0.38</v>
      </c>
      <c r="O1911" t="s">
        <v>33</v>
      </c>
      <c r="P1911" t="s">
        <v>34</v>
      </c>
      <c r="Q1911" t="s">
        <v>45</v>
      </c>
      <c r="R1911" t="s">
        <v>2985</v>
      </c>
      <c r="S1911" s="7">
        <v>92231</v>
      </c>
      <c r="T1911" s="3">
        <v>42140</v>
      </c>
      <c r="U1911" s="3">
        <v>42141</v>
      </c>
      <c r="V1911" s="4">
        <v>137.67569999999998</v>
      </c>
      <c r="W1911">
        <v>7</v>
      </c>
      <c r="X1911">
        <v>199.53</v>
      </c>
      <c r="Y1911" s="7">
        <v>88589</v>
      </c>
    </row>
    <row r="1912" spans="1:25" ht="12.75" customHeight="1">
      <c r="A1912">
        <v>19839</v>
      </c>
      <c r="B1912" t="s">
        <v>25</v>
      </c>
      <c r="C1912" s="4">
        <v>7.0000000000000007E-2</v>
      </c>
      <c r="D1912" s="8">
        <v>5.98</v>
      </c>
      <c r="E1912" s="4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 s="5">
        <v>0.36</v>
      </c>
      <c r="O1912" t="s">
        <v>33</v>
      </c>
      <c r="P1912" t="s">
        <v>34</v>
      </c>
      <c r="Q1912" t="s">
        <v>45</v>
      </c>
      <c r="R1912" t="s">
        <v>2985</v>
      </c>
      <c r="S1912" s="7">
        <v>92231</v>
      </c>
      <c r="T1912" s="3">
        <v>42140</v>
      </c>
      <c r="U1912" s="3">
        <v>42142</v>
      </c>
      <c r="V1912" s="4">
        <v>-62</v>
      </c>
      <c r="W1912">
        <v>6</v>
      </c>
      <c r="X1912">
        <v>37.049999999999997</v>
      </c>
      <c r="Y1912" s="7">
        <v>88589</v>
      </c>
    </row>
    <row r="1913" spans="1:25" ht="12.75" customHeight="1">
      <c r="A1913">
        <v>19666</v>
      </c>
      <c r="B1913" t="s">
        <v>37</v>
      </c>
      <c r="C1913" s="4">
        <v>0.04</v>
      </c>
      <c r="D1913" s="8">
        <v>3.69</v>
      </c>
      <c r="E1913" s="4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 s="5">
        <v>0.38</v>
      </c>
      <c r="O1913" t="s">
        <v>33</v>
      </c>
      <c r="P1913" t="s">
        <v>34</v>
      </c>
      <c r="Q1913" t="s">
        <v>45</v>
      </c>
      <c r="R1913" t="s">
        <v>2985</v>
      </c>
      <c r="S1913" s="7">
        <v>92231</v>
      </c>
      <c r="T1913" s="3">
        <v>42090</v>
      </c>
      <c r="U1913" s="3">
        <v>42092</v>
      </c>
      <c r="V1913" s="4">
        <v>47.527199999999993</v>
      </c>
      <c r="W1913">
        <v>19</v>
      </c>
      <c r="X1913">
        <v>68.88</v>
      </c>
      <c r="Y1913" s="7">
        <v>88590</v>
      </c>
    </row>
    <row r="1914" spans="1:25" ht="12.75" customHeight="1">
      <c r="A1914">
        <v>23906</v>
      </c>
      <c r="B1914" t="s">
        <v>106</v>
      </c>
      <c r="C1914" s="4">
        <v>0.1</v>
      </c>
      <c r="D1914" s="8">
        <v>120.98</v>
      </c>
      <c r="E1914" s="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 s="5">
        <v>0.35</v>
      </c>
      <c r="O1914" t="s">
        <v>33</v>
      </c>
      <c r="P1914" t="s">
        <v>34</v>
      </c>
      <c r="Q1914" t="s">
        <v>45</v>
      </c>
      <c r="R1914" t="s">
        <v>2988</v>
      </c>
      <c r="S1914" s="7">
        <v>93010</v>
      </c>
      <c r="T1914" s="3">
        <v>42063</v>
      </c>
      <c r="U1914" s="3">
        <v>42072</v>
      </c>
      <c r="V1914" s="4">
        <v>379.3965</v>
      </c>
      <c r="W1914">
        <v>5</v>
      </c>
      <c r="X1914">
        <v>549.85</v>
      </c>
      <c r="Y1914" s="7">
        <v>88587</v>
      </c>
    </row>
    <row r="1915" spans="1:25" ht="12.75" customHeight="1">
      <c r="A1915">
        <v>23907</v>
      </c>
      <c r="B1915" t="s">
        <v>106</v>
      </c>
      <c r="C1915" s="4">
        <v>0.08</v>
      </c>
      <c r="D1915" s="8">
        <v>8.32</v>
      </c>
      <c r="E1915" s="4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 s="5">
        <v>0.74</v>
      </c>
      <c r="O1915" t="s">
        <v>33</v>
      </c>
      <c r="P1915" t="s">
        <v>34</v>
      </c>
      <c r="Q1915" t="s">
        <v>45</v>
      </c>
      <c r="R1915" t="s">
        <v>2988</v>
      </c>
      <c r="S1915" s="7">
        <v>93010</v>
      </c>
      <c r="T1915" s="3">
        <v>42063</v>
      </c>
      <c r="U1915" s="3">
        <v>42067</v>
      </c>
      <c r="V1915" s="4">
        <v>-41.83</v>
      </c>
      <c r="W1915">
        <v>6</v>
      </c>
      <c r="X1915">
        <v>48.99</v>
      </c>
      <c r="Y1915" s="7">
        <v>88587</v>
      </c>
    </row>
    <row r="1916" spans="1:25" ht="12.75" customHeight="1">
      <c r="A1916">
        <v>23908</v>
      </c>
      <c r="B1916" t="s">
        <v>106</v>
      </c>
      <c r="C1916" s="4">
        <v>0.1</v>
      </c>
      <c r="D1916" s="8">
        <v>125.99</v>
      </c>
      <c r="E1916" s="4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 s="5">
        <v>0.59</v>
      </c>
      <c r="O1916" t="s">
        <v>33</v>
      </c>
      <c r="P1916" t="s">
        <v>34</v>
      </c>
      <c r="Q1916" t="s">
        <v>45</v>
      </c>
      <c r="R1916" t="s">
        <v>2988</v>
      </c>
      <c r="S1916" s="7">
        <v>93010</v>
      </c>
      <c r="T1916" s="3">
        <v>42063</v>
      </c>
      <c r="U1916" s="3">
        <v>42063</v>
      </c>
      <c r="V1916" s="4">
        <v>372.40199999999999</v>
      </c>
      <c r="W1916">
        <v>7</v>
      </c>
      <c r="X1916">
        <v>681.42</v>
      </c>
      <c r="Y1916" s="7">
        <v>88587</v>
      </c>
    </row>
    <row r="1917" spans="1:25" ht="12.75" customHeight="1">
      <c r="A1917">
        <v>18628</v>
      </c>
      <c r="B1917" t="s">
        <v>56</v>
      </c>
      <c r="C1917" s="4">
        <v>7.0000000000000007E-2</v>
      </c>
      <c r="D1917" s="8">
        <v>5.34</v>
      </c>
      <c r="E1917" s="4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 s="5">
        <v>0.39</v>
      </c>
      <c r="O1917" t="s">
        <v>33</v>
      </c>
      <c r="P1917" t="s">
        <v>34</v>
      </c>
      <c r="Q1917" t="s">
        <v>1741</v>
      </c>
      <c r="R1917" t="s">
        <v>2990</v>
      </c>
      <c r="S1917" s="7">
        <v>83616</v>
      </c>
      <c r="T1917" s="3">
        <v>42128</v>
      </c>
      <c r="U1917" s="3">
        <v>42130</v>
      </c>
      <c r="V1917" s="4">
        <v>-116.3455</v>
      </c>
      <c r="W1917">
        <v>13</v>
      </c>
      <c r="X1917">
        <v>66.650000000000006</v>
      </c>
      <c r="Y1917" s="7">
        <v>88588</v>
      </c>
    </row>
    <row r="1918" spans="1:25" ht="12.75" customHeight="1">
      <c r="A1918">
        <v>18629</v>
      </c>
      <c r="B1918" t="s">
        <v>56</v>
      </c>
      <c r="C1918" s="4">
        <v>0.03</v>
      </c>
      <c r="D1918" s="8">
        <v>160.97999999999999</v>
      </c>
      <c r="E1918" s="4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 s="5">
        <v>0.62</v>
      </c>
      <c r="O1918" t="s">
        <v>33</v>
      </c>
      <c r="P1918" t="s">
        <v>34</v>
      </c>
      <c r="Q1918" t="s">
        <v>1741</v>
      </c>
      <c r="R1918" t="s">
        <v>2990</v>
      </c>
      <c r="S1918" s="7">
        <v>83616</v>
      </c>
      <c r="T1918" s="3">
        <v>42128</v>
      </c>
      <c r="U1918" s="3">
        <v>42129</v>
      </c>
      <c r="V1918" s="4">
        <v>1304.9000000000001</v>
      </c>
      <c r="W1918">
        <v>18</v>
      </c>
      <c r="X1918">
        <v>2934.16</v>
      </c>
      <c r="Y1918" s="7">
        <v>88588</v>
      </c>
    </row>
    <row r="1919" spans="1:25" ht="12.75" customHeight="1">
      <c r="A1919">
        <v>18630</v>
      </c>
      <c r="B1919" t="s">
        <v>56</v>
      </c>
      <c r="C1919" s="4">
        <v>0.04</v>
      </c>
      <c r="D1919" s="8">
        <v>65.989999999999995</v>
      </c>
      <c r="E1919" s="4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 s="5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 s="7">
        <v>83616</v>
      </c>
      <c r="T1919" s="3">
        <v>42128</v>
      </c>
      <c r="U1919" s="3">
        <v>42128</v>
      </c>
      <c r="V1919" s="4">
        <v>605.04719999999998</v>
      </c>
      <c r="W1919">
        <v>15</v>
      </c>
      <c r="X1919">
        <v>876.88</v>
      </c>
      <c r="Y1919" s="7">
        <v>88588</v>
      </c>
    </row>
    <row r="1920" spans="1:25" ht="12.75" customHeight="1">
      <c r="A1920">
        <v>22597</v>
      </c>
      <c r="B1920" t="s">
        <v>25</v>
      </c>
      <c r="C1920" s="4">
        <v>0.09</v>
      </c>
      <c r="D1920" s="8">
        <v>28.53</v>
      </c>
      <c r="E1920" s="4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 s="5">
        <v>0.38</v>
      </c>
      <c r="O1920" t="s">
        <v>33</v>
      </c>
      <c r="P1920" t="s">
        <v>61</v>
      </c>
      <c r="Q1920" t="s">
        <v>1858</v>
      </c>
      <c r="R1920" t="s">
        <v>2993</v>
      </c>
      <c r="S1920" s="7">
        <v>53213</v>
      </c>
      <c r="T1920" s="3">
        <v>42122</v>
      </c>
      <c r="U1920" s="3">
        <v>42124</v>
      </c>
      <c r="V1920" s="4">
        <v>107.45461999999999</v>
      </c>
      <c r="W1920">
        <v>6</v>
      </c>
      <c r="X1920">
        <v>157.33000000000001</v>
      </c>
      <c r="Y1920" s="7">
        <v>91437</v>
      </c>
    </row>
    <row r="1921" spans="1:25" ht="12.75" customHeight="1">
      <c r="A1921">
        <v>23359</v>
      </c>
      <c r="B1921" t="s">
        <v>37</v>
      </c>
      <c r="C1921" s="4">
        <v>0.02</v>
      </c>
      <c r="D1921" s="8">
        <v>9.11</v>
      </c>
      <c r="E1921" s="4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 s="5">
        <v>0.4</v>
      </c>
      <c r="O1921" t="s">
        <v>33</v>
      </c>
      <c r="P1921" t="s">
        <v>61</v>
      </c>
      <c r="Q1921" t="s">
        <v>1858</v>
      </c>
      <c r="R1921" t="s">
        <v>2995</v>
      </c>
      <c r="S1921" s="7">
        <v>53214</v>
      </c>
      <c r="T1921" s="3">
        <v>42083</v>
      </c>
      <c r="U1921" s="3">
        <v>42085</v>
      </c>
      <c r="V1921" s="4">
        <v>18.41</v>
      </c>
      <c r="W1921">
        <v>3</v>
      </c>
      <c r="X1921">
        <v>27.37</v>
      </c>
      <c r="Y1921" s="7">
        <v>91435</v>
      </c>
    </row>
    <row r="1922" spans="1:25" ht="12.75" customHeight="1">
      <c r="A1922">
        <v>23360</v>
      </c>
      <c r="B1922" t="s">
        <v>37</v>
      </c>
      <c r="C1922" s="4">
        <v>0.06</v>
      </c>
      <c r="D1922" s="8">
        <v>12.64</v>
      </c>
      <c r="E1922" s="4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 s="5">
        <v>0.48</v>
      </c>
      <c r="O1922" t="s">
        <v>33</v>
      </c>
      <c r="P1922" t="s">
        <v>61</v>
      </c>
      <c r="Q1922" t="s">
        <v>1858</v>
      </c>
      <c r="R1922" t="s">
        <v>2997</v>
      </c>
      <c r="S1922" s="7">
        <v>53095</v>
      </c>
      <c r="T1922" s="3">
        <v>42083</v>
      </c>
      <c r="U1922" s="3">
        <v>42085</v>
      </c>
      <c r="V1922" s="4">
        <v>65.63</v>
      </c>
      <c r="W1922">
        <v>8</v>
      </c>
      <c r="X1922">
        <v>98.16</v>
      </c>
      <c r="Y1922" s="7">
        <v>91435</v>
      </c>
    </row>
    <row r="1923" spans="1:25" ht="12.75" customHeight="1">
      <c r="A1923">
        <v>24802</v>
      </c>
      <c r="B1923" t="s">
        <v>56</v>
      </c>
      <c r="C1923" s="4">
        <v>0.04</v>
      </c>
      <c r="D1923" s="8">
        <v>7.96</v>
      </c>
      <c r="E1923" s="4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 s="5">
        <v>0.41</v>
      </c>
      <c r="O1923" t="s">
        <v>33</v>
      </c>
      <c r="P1923" t="s">
        <v>61</v>
      </c>
      <c r="Q1923" t="s">
        <v>1858</v>
      </c>
      <c r="R1923" t="s">
        <v>2997</v>
      </c>
      <c r="S1923" s="7">
        <v>53095</v>
      </c>
      <c r="T1923" s="3">
        <v>42030</v>
      </c>
      <c r="U1923" s="3">
        <v>42030</v>
      </c>
      <c r="V1923" s="4">
        <v>-7.73</v>
      </c>
      <c r="W1923">
        <v>15</v>
      </c>
      <c r="X1923">
        <v>116.11</v>
      </c>
      <c r="Y1923" s="7">
        <v>91436</v>
      </c>
    </row>
    <row r="1924" spans="1:25" ht="12.75" customHeight="1">
      <c r="A1924">
        <v>23887</v>
      </c>
      <c r="B1924" t="s">
        <v>56</v>
      </c>
      <c r="C1924" s="4">
        <v>0.03</v>
      </c>
      <c r="D1924" s="8">
        <v>4.9800000000000004</v>
      </c>
      <c r="E1924" s="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 s="5">
        <v>0.37</v>
      </c>
      <c r="O1924" t="s">
        <v>33</v>
      </c>
      <c r="P1924" t="s">
        <v>61</v>
      </c>
      <c r="Q1924" t="s">
        <v>1858</v>
      </c>
      <c r="R1924" t="s">
        <v>2997</v>
      </c>
      <c r="S1924" s="7">
        <v>53095</v>
      </c>
      <c r="T1924" s="3">
        <v>42164</v>
      </c>
      <c r="U1924" s="3">
        <v>42166</v>
      </c>
      <c r="V1924" s="4">
        <v>-47.995249999999999</v>
      </c>
      <c r="W1924">
        <v>19</v>
      </c>
      <c r="X1924">
        <v>95</v>
      </c>
      <c r="Y1924" s="7">
        <v>91438</v>
      </c>
    </row>
    <row r="1925" spans="1:25" ht="12.75" customHeight="1">
      <c r="A1925">
        <v>19749</v>
      </c>
      <c r="B1925" t="s">
        <v>106</v>
      </c>
      <c r="C1925" s="4">
        <v>0.1</v>
      </c>
      <c r="D1925" s="8">
        <v>80.97</v>
      </c>
      <c r="E1925" s="4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 s="5">
        <v>0.37</v>
      </c>
      <c r="O1925" t="s">
        <v>33</v>
      </c>
      <c r="P1925" t="s">
        <v>53</v>
      </c>
      <c r="Q1925" t="s">
        <v>154</v>
      </c>
      <c r="R1925" t="s">
        <v>309</v>
      </c>
      <c r="S1925" s="7">
        <v>45373</v>
      </c>
      <c r="T1925" s="3">
        <v>42148</v>
      </c>
      <c r="U1925" s="3">
        <v>42153</v>
      </c>
      <c r="V1925" s="4">
        <v>66.22</v>
      </c>
      <c r="W1925">
        <v>11</v>
      </c>
      <c r="X1925">
        <v>837.57</v>
      </c>
      <c r="Y1925" s="7">
        <v>90501</v>
      </c>
    </row>
    <row r="1926" spans="1:25" ht="12.75" customHeight="1">
      <c r="A1926">
        <v>19750</v>
      </c>
      <c r="B1926" t="s">
        <v>106</v>
      </c>
      <c r="C1926" s="4">
        <v>0.02</v>
      </c>
      <c r="D1926" s="8">
        <v>6.48</v>
      </c>
      <c r="E1926" s="4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 s="5">
        <v>0.37</v>
      </c>
      <c r="O1926" t="s">
        <v>33</v>
      </c>
      <c r="P1926" t="s">
        <v>53</v>
      </c>
      <c r="Q1926" t="s">
        <v>154</v>
      </c>
      <c r="R1926" t="s">
        <v>309</v>
      </c>
      <c r="S1926" s="7">
        <v>45373</v>
      </c>
      <c r="T1926" s="3">
        <v>42148</v>
      </c>
      <c r="U1926" s="3">
        <v>42152</v>
      </c>
      <c r="V1926" s="4">
        <v>-23.53</v>
      </c>
      <c r="W1926">
        <v>8</v>
      </c>
      <c r="X1926">
        <v>56.22</v>
      </c>
      <c r="Y1926" s="7">
        <v>90501</v>
      </c>
    </row>
    <row r="1927" spans="1:25" ht="12.75" customHeight="1">
      <c r="A1927">
        <v>23428</v>
      </c>
      <c r="B1927" t="s">
        <v>47</v>
      </c>
      <c r="C1927" s="4">
        <v>0.08</v>
      </c>
      <c r="D1927" s="8">
        <v>30.97</v>
      </c>
      <c r="E1927" s="4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 s="5">
        <v>0.74</v>
      </c>
      <c r="O1927" t="s">
        <v>33</v>
      </c>
      <c r="P1927" t="s">
        <v>53</v>
      </c>
      <c r="Q1927" t="s">
        <v>154</v>
      </c>
      <c r="R1927" t="s">
        <v>3000</v>
      </c>
      <c r="S1927" s="7">
        <v>43221</v>
      </c>
      <c r="T1927" s="3">
        <v>42126</v>
      </c>
      <c r="U1927" s="3">
        <v>42127</v>
      </c>
      <c r="V1927" s="4">
        <v>10.680000000000014</v>
      </c>
      <c r="W1927">
        <v>26</v>
      </c>
      <c r="X1927">
        <v>758.97</v>
      </c>
      <c r="Y1927" s="7">
        <v>90502</v>
      </c>
    </row>
    <row r="1928" spans="1:25" ht="12.75" customHeight="1">
      <c r="A1928">
        <v>23429</v>
      </c>
      <c r="B1928" t="s">
        <v>47</v>
      </c>
      <c r="C1928" s="4">
        <v>0.1</v>
      </c>
      <c r="D1928" s="8">
        <v>4.13</v>
      </c>
      <c r="E1928" s="4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 s="5">
        <v>0.39</v>
      </c>
      <c r="O1928" t="s">
        <v>33</v>
      </c>
      <c r="P1928" t="s">
        <v>53</v>
      </c>
      <c r="Q1928" t="s">
        <v>154</v>
      </c>
      <c r="R1928" t="s">
        <v>3000</v>
      </c>
      <c r="S1928" s="7">
        <v>43221</v>
      </c>
      <c r="T1928" s="3">
        <v>42126</v>
      </c>
      <c r="U1928" s="3">
        <v>42128</v>
      </c>
      <c r="V1928" s="4">
        <v>58.263599999999997</v>
      </c>
      <c r="W1928">
        <v>18</v>
      </c>
      <c r="X1928">
        <v>84.44</v>
      </c>
      <c r="Y1928" s="7">
        <v>90502</v>
      </c>
    </row>
    <row r="1929" spans="1:25" ht="12.75" customHeight="1">
      <c r="A1929">
        <v>26104</v>
      </c>
      <c r="B1929" t="s">
        <v>56</v>
      </c>
      <c r="C1929" s="4">
        <v>0.06</v>
      </c>
      <c r="D1929" s="8">
        <v>7.1</v>
      </c>
      <c r="E1929" s="4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 s="5">
        <v>0.39</v>
      </c>
      <c r="O1929" t="s">
        <v>33</v>
      </c>
      <c r="P1929" t="s">
        <v>53</v>
      </c>
      <c r="Q1929" t="s">
        <v>154</v>
      </c>
      <c r="R1929" t="s">
        <v>1511</v>
      </c>
      <c r="S1929" s="7">
        <v>43081</v>
      </c>
      <c r="T1929" s="3">
        <v>42047</v>
      </c>
      <c r="U1929" s="3">
        <v>42048</v>
      </c>
      <c r="V1929" s="4">
        <v>-42.170500000000004</v>
      </c>
      <c r="W1929">
        <v>4</v>
      </c>
      <c r="X1929">
        <v>29.99</v>
      </c>
      <c r="Y1929" s="7">
        <v>90500</v>
      </c>
    </row>
    <row r="1930" spans="1:25" ht="12.75" customHeight="1">
      <c r="A1930">
        <v>18311</v>
      </c>
      <c r="B1930" t="s">
        <v>56</v>
      </c>
      <c r="C1930" s="4">
        <v>0.01</v>
      </c>
      <c r="D1930" s="8">
        <v>179.29</v>
      </c>
      <c r="E1930" s="4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 s="5">
        <v>0.76</v>
      </c>
      <c r="O1930" t="s">
        <v>33</v>
      </c>
      <c r="P1930" t="s">
        <v>53</v>
      </c>
      <c r="Q1930" t="s">
        <v>415</v>
      </c>
      <c r="R1930" t="s">
        <v>3004</v>
      </c>
      <c r="S1930" s="7">
        <v>21113</v>
      </c>
      <c r="T1930" s="3">
        <v>42157</v>
      </c>
      <c r="U1930" s="3">
        <v>42159</v>
      </c>
      <c r="V1930" s="4">
        <v>66.362220000000008</v>
      </c>
      <c r="W1930">
        <v>8</v>
      </c>
      <c r="X1930">
        <v>1487.9</v>
      </c>
      <c r="Y1930" s="7">
        <v>87473</v>
      </c>
    </row>
    <row r="1931" spans="1:25" ht="12.75" customHeight="1">
      <c r="A1931">
        <v>18320</v>
      </c>
      <c r="B1931" t="s">
        <v>25</v>
      </c>
      <c r="C1931" s="4">
        <v>0.05</v>
      </c>
      <c r="D1931" s="8">
        <v>73.98</v>
      </c>
      <c r="E1931" s="4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 s="5">
        <v>0.67</v>
      </c>
      <c r="O1931" t="s">
        <v>33</v>
      </c>
      <c r="P1931" t="s">
        <v>53</v>
      </c>
      <c r="Q1931" t="s">
        <v>415</v>
      </c>
      <c r="R1931" t="s">
        <v>3004</v>
      </c>
      <c r="S1931" s="7">
        <v>21113</v>
      </c>
      <c r="T1931" s="3">
        <v>42184</v>
      </c>
      <c r="U1931" s="3">
        <v>42185</v>
      </c>
      <c r="V1931" s="4">
        <v>-1.904000000000019</v>
      </c>
      <c r="W1931">
        <v>8</v>
      </c>
      <c r="X1931">
        <v>600.4</v>
      </c>
      <c r="Y1931" s="7">
        <v>87474</v>
      </c>
    </row>
    <row r="1932" spans="1:25" ht="12.75" customHeight="1">
      <c r="A1932">
        <v>18321</v>
      </c>
      <c r="B1932" t="s">
        <v>25</v>
      </c>
      <c r="C1932" s="4">
        <v>0</v>
      </c>
      <c r="D1932" s="8">
        <v>5.98</v>
      </c>
      <c r="E1932" s="4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 s="5">
        <v>0.36</v>
      </c>
      <c r="O1932" t="s">
        <v>33</v>
      </c>
      <c r="P1932" t="s">
        <v>53</v>
      </c>
      <c r="Q1932" t="s">
        <v>415</v>
      </c>
      <c r="R1932" t="s">
        <v>3004</v>
      </c>
      <c r="S1932" s="7">
        <v>21113</v>
      </c>
      <c r="T1932" s="3">
        <v>42184</v>
      </c>
      <c r="U1932" s="3">
        <v>42186</v>
      </c>
      <c r="V1932" s="4">
        <v>-37.048000000000002</v>
      </c>
      <c r="W1932">
        <v>5</v>
      </c>
      <c r="X1932">
        <v>34.25</v>
      </c>
      <c r="Y1932" s="7">
        <v>87474</v>
      </c>
    </row>
    <row r="1933" spans="1:25" ht="12.75" customHeight="1">
      <c r="A1933">
        <v>18322</v>
      </c>
      <c r="B1933" t="s">
        <v>25</v>
      </c>
      <c r="C1933" s="4">
        <v>0.09</v>
      </c>
      <c r="D1933" s="8">
        <v>3.57</v>
      </c>
      <c r="E1933" s="4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 s="5">
        <v>0.59</v>
      </c>
      <c r="O1933" t="s">
        <v>33</v>
      </c>
      <c r="P1933" t="s">
        <v>53</v>
      </c>
      <c r="Q1933" t="s">
        <v>415</v>
      </c>
      <c r="R1933" t="s">
        <v>3004</v>
      </c>
      <c r="S1933" s="7">
        <v>21113</v>
      </c>
      <c r="T1933" s="3">
        <v>42184</v>
      </c>
      <c r="U1933" s="3">
        <v>42186</v>
      </c>
      <c r="V1933" s="4">
        <v>-56.887999999999998</v>
      </c>
      <c r="W1933">
        <v>9</v>
      </c>
      <c r="X1933">
        <v>31.45</v>
      </c>
      <c r="Y1933" s="7">
        <v>87474</v>
      </c>
    </row>
    <row r="1934" spans="1:25" ht="12.75" customHeight="1">
      <c r="A1934">
        <v>22378</v>
      </c>
      <c r="B1934" t="s">
        <v>47</v>
      </c>
      <c r="C1934" s="4">
        <v>0</v>
      </c>
      <c r="D1934" s="8">
        <v>19.98</v>
      </c>
      <c r="E1934" s="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 s="5">
        <v>0.38</v>
      </c>
      <c r="O1934" t="s">
        <v>33</v>
      </c>
      <c r="P1934" t="s">
        <v>136</v>
      </c>
      <c r="Q1934" t="s">
        <v>387</v>
      </c>
      <c r="R1934" t="s">
        <v>3007</v>
      </c>
      <c r="S1934" s="7">
        <v>30144</v>
      </c>
      <c r="T1934" s="3">
        <v>42089</v>
      </c>
      <c r="U1934" s="3">
        <v>42092</v>
      </c>
      <c r="V1934" s="4">
        <v>-189.714</v>
      </c>
      <c r="W1934">
        <v>12</v>
      </c>
      <c r="X1934">
        <v>249.07</v>
      </c>
      <c r="Y1934" s="7">
        <v>88837</v>
      </c>
    </row>
    <row r="1935" spans="1:25" ht="12.75" customHeight="1">
      <c r="A1935">
        <v>20366</v>
      </c>
      <c r="B1935" t="s">
        <v>47</v>
      </c>
      <c r="C1935" s="4">
        <v>0.05</v>
      </c>
      <c r="D1935" s="8">
        <v>3.14</v>
      </c>
      <c r="E1935" s="4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 s="5">
        <v>0.84</v>
      </c>
      <c r="O1935" t="s">
        <v>33</v>
      </c>
      <c r="P1935" t="s">
        <v>136</v>
      </c>
      <c r="Q1935" t="s">
        <v>387</v>
      </c>
      <c r="R1935" t="s">
        <v>3007</v>
      </c>
      <c r="S1935" s="7">
        <v>30144</v>
      </c>
      <c r="T1935" s="3">
        <v>42119</v>
      </c>
      <c r="U1935" s="3">
        <v>42120</v>
      </c>
      <c r="V1935" s="4">
        <v>1628.37</v>
      </c>
      <c r="W1935">
        <v>18</v>
      </c>
      <c r="X1935">
        <v>59.22</v>
      </c>
      <c r="Y1935" s="7">
        <v>88839</v>
      </c>
    </row>
    <row r="1936" spans="1:25" ht="12.75" customHeight="1">
      <c r="A1936">
        <v>23181</v>
      </c>
      <c r="B1936" t="s">
        <v>47</v>
      </c>
      <c r="C1936" s="4">
        <v>0.03</v>
      </c>
      <c r="D1936" s="8">
        <v>315.98</v>
      </c>
      <c r="E1936" s="4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 s="5">
        <v>0.38</v>
      </c>
      <c r="O1936" t="s">
        <v>33</v>
      </c>
      <c r="P1936" t="s">
        <v>136</v>
      </c>
      <c r="Q1936" t="s">
        <v>387</v>
      </c>
      <c r="R1936" t="s">
        <v>3009</v>
      </c>
      <c r="S1936" s="7">
        <v>30240</v>
      </c>
      <c r="T1936" s="3">
        <v>42114</v>
      </c>
      <c r="U1936" s="3">
        <v>42116</v>
      </c>
      <c r="V1936" s="4">
        <v>-4.4800000000000004</v>
      </c>
      <c r="W1936">
        <v>18</v>
      </c>
      <c r="X1936">
        <v>5572.18</v>
      </c>
      <c r="Y1936" s="7">
        <v>88838</v>
      </c>
    </row>
    <row r="1937" spans="1:25" ht="12.75" customHeight="1">
      <c r="A1937">
        <v>23182</v>
      </c>
      <c r="B1937" t="s">
        <v>47</v>
      </c>
      <c r="C1937" s="4">
        <v>0.09</v>
      </c>
      <c r="D1937" s="8">
        <v>276.2</v>
      </c>
      <c r="E1937" s="4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 s="7">
        <v>30240</v>
      </c>
      <c r="T1937" s="3">
        <v>42114</v>
      </c>
      <c r="U1937" s="3">
        <v>42115</v>
      </c>
      <c r="V1937" s="4">
        <v>3193.2840000000001</v>
      </c>
      <c r="W1937">
        <v>11</v>
      </c>
      <c r="X1937">
        <v>2941.42</v>
      </c>
      <c r="Y1937" s="7">
        <v>88838</v>
      </c>
    </row>
    <row r="1938" spans="1:25" ht="12.75" customHeight="1">
      <c r="A1938">
        <v>23183</v>
      </c>
      <c r="B1938" t="s">
        <v>47</v>
      </c>
      <c r="C1938" s="4">
        <v>0.03</v>
      </c>
      <c r="D1938" s="8">
        <v>63.94</v>
      </c>
      <c r="E1938" s="4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 s="5">
        <v>0.46</v>
      </c>
      <c r="O1938" t="s">
        <v>33</v>
      </c>
      <c r="P1938" t="s">
        <v>136</v>
      </c>
      <c r="Q1938" t="s">
        <v>387</v>
      </c>
      <c r="R1938" t="s">
        <v>3009</v>
      </c>
      <c r="S1938" s="7">
        <v>30240</v>
      </c>
      <c r="T1938" s="3">
        <v>42114</v>
      </c>
      <c r="U1938" s="3">
        <v>42115</v>
      </c>
      <c r="V1938" s="4">
        <v>43.691699999999997</v>
      </c>
      <c r="W1938">
        <v>8</v>
      </c>
      <c r="X1938">
        <v>522.46</v>
      </c>
      <c r="Y1938" s="7">
        <v>88838</v>
      </c>
    </row>
    <row r="1939" spans="1:25" ht="12.75" customHeight="1">
      <c r="A1939">
        <v>24161</v>
      </c>
      <c r="B1939" t="s">
        <v>37</v>
      </c>
      <c r="C1939" s="4">
        <v>0.05</v>
      </c>
      <c r="D1939" s="8">
        <v>11.97</v>
      </c>
      <c r="E1939" s="4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 s="5">
        <v>0.6</v>
      </c>
      <c r="O1939" t="s">
        <v>33</v>
      </c>
      <c r="P1939" t="s">
        <v>136</v>
      </c>
      <c r="Q1939" t="s">
        <v>387</v>
      </c>
      <c r="R1939" t="s">
        <v>3012</v>
      </c>
      <c r="S1939" s="7">
        <v>31204</v>
      </c>
      <c r="T1939" s="3">
        <v>42086</v>
      </c>
      <c r="U1939" s="3">
        <v>42088</v>
      </c>
      <c r="V1939" s="4">
        <v>349.05930000000001</v>
      </c>
      <c r="W1939">
        <v>2</v>
      </c>
      <c r="X1939">
        <v>25.31</v>
      </c>
      <c r="Y1939" s="7">
        <v>88836</v>
      </c>
    </row>
    <row r="1940" spans="1:25" ht="12.75" customHeight="1">
      <c r="A1940">
        <v>25841</v>
      </c>
      <c r="B1940" t="s">
        <v>56</v>
      </c>
      <c r="C1940" s="4">
        <v>0.02</v>
      </c>
      <c r="D1940" s="8">
        <v>28.53</v>
      </c>
      <c r="E1940" s="4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 s="5">
        <v>0.38</v>
      </c>
      <c r="O1940" t="s">
        <v>33</v>
      </c>
      <c r="P1940" t="s">
        <v>136</v>
      </c>
      <c r="Q1940" t="s">
        <v>387</v>
      </c>
      <c r="R1940" t="s">
        <v>3012</v>
      </c>
      <c r="S1940" s="7">
        <v>31204</v>
      </c>
      <c r="T1940" s="3">
        <v>42123</v>
      </c>
      <c r="U1940" s="3">
        <v>42123</v>
      </c>
      <c r="V1940" s="4">
        <v>1.9919999999999998</v>
      </c>
      <c r="W1940">
        <v>18</v>
      </c>
      <c r="X1940">
        <v>513.33000000000004</v>
      </c>
      <c r="Y1940" s="7">
        <v>88840</v>
      </c>
    </row>
    <row r="1941" spans="1:25" ht="12.75" customHeight="1">
      <c r="A1941">
        <v>22341</v>
      </c>
      <c r="B1941" t="s">
        <v>106</v>
      </c>
      <c r="C1941" s="4">
        <v>0.04</v>
      </c>
      <c r="D1941" s="8">
        <v>2.98</v>
      </c>
      <c r="E1941" s="4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 s="5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 s="7">
        <v>44512</v>
      </c>
      <c r="T1941" s="3">
        <v>42020</v>
      </c>
      <c r="U1941" s="3">
        <v>42020</v>
      </c>
      <c r="V1941" s="4">
        <v>-22.009999999999998</v>
      </c>
      <c r="W1941">
        <v>5</v>
      </c>
      <c r="X1941">
        <v>15.7</v>
      </c>
      <c r="Y1941" s="7">
        <v>88745</v>
      </c>
    </row>
    <row r="1942" spans="1:25" ht="12.75" customHeight="1">
      <c r="A1942">
        <v>22342</v>
      </c>
      <c r="B1942" t="s">
        <v>106</v>
      </c>
      <c r="C1942" s="4">
        <v>0.01</v>
      </c>
      <c r="D1942" s="8">
        <v>125.99</v>
      </c>
      <c r="E1942" s="4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 s="5">
        <v>0.59</v>
      </c>
      <c r="O1942" t="s">
        <v>33</v>
      </c>
      <c r="P1942" t="s">
        <v>53</v>
      </c>
      <c r="Q1942" t="s">
        <v>154</v>
      </c>
      <c r="R1942" t="s">
        <v>3015</v>
      </c>
      <c r="S1942" s="7">
        <v>44512</v>
      </c>
      <c r="T1942" s="3">
        <v>42020</v>
      </c>
      <c r="U1942" s="3">
        <v>42025</v>
      </c>
      <c r="V1942" s="4">
        <v>426.46032000000002</v>
      </c>
      <c r="W1942">
        <v>6</v>
      </c>
      <c r="X1942">
        <v>680.65</v>
      </c>
      <c r="Y1942" s="7">
        <v>88745</v>
      </c>
    </row>
    <row r="1943" spans="1:25" ht="12.75" customHeight="1">
      <c r="A1943">
        <v>23190</v>
      </c>
      <c r="B1943" t="s">
        <v>47</v>
      </c>
      <c r="C1943" s="4">
        <v>0</v>
      </c>
      <c r="D1943" s="8">
        <v>2.61</v>
      </c>
      <c r="E1943" s="4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 s="5">
        <v>0.39</v>
      </c>
      <c r="O1943" t="s">
        <v>33</v>
      </c>
      <c r="P1943" t="s">
        <v>53</v>
      </c>
      <c r="Q1943" t="s">
        <v>154</v>
      </c>
      <c r="R1943" t="s">
        <v>614</v>
      </c>
      <c r="S1943" s="7">
        <v>43402</v>
      </c>
      <c r="T1943" s="3">
        <v>42127</v>
      </c>
      <c r="U1943" s="3">
        <v>42129</v>
      </c>
      <c r="V1943" s="4">
        <v>19.554599999999997</v>
      </c>
      <c r="W1943">
        <v>10</v>
      </c>
      <c r="X1943">
        <v>28.34</v>
      </c>
      <c r="Y1943" s="7">
        <v>88746</v>
      </c>
    </row>
    <row r="1944" spans="1:25" ht="12.75" customHeight="1">
      <c r="A1944">
        <v>23191</v>
      </c>
      <c r="B1944" t="s">
        <v>47</v>
      </c>
      <c r="C1944" s="4">
        <v>0.04</v>
      </c>
      <c r="D1944" s="8">
        <v>25.38</v>
      </c>
      <c r="E1944" s="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 s="5">
        <v>0.5</v>
      </c>
      <c r="O1944" t="s">
        <v>33</v>
      </c>
      <c r="P1944" t="s">
        <v>53</v>
      </c>
      <c r="Q1944" t="s">
        <v>154</v>
      </c>
      <c r="R1944" t="s">
        <v>614</v>
      </c>
      <c r="S1944" s="7">
        <v>43402</v>
      </c>
      <c r="T1944" s="3">
        <v>42127</v>
      </c>
      <c r="U1944" s="3">
        <v>42130</v>
      </c>
      <c r="V1944" s="4">
        <v>152.48200000000003</v>
      </c>
      <c r="W1944">
        <v>35</v>
      </c>
      <c r="X1944">
        <v>861.3</v>
      </c>
      <c r="Y1944" s="7">
        <v>88746</v>
      </c>
    </row>
    <row r="1945" spans="1:25" ht="12.75" customHeight="1">
      <c r="A1945">
        <v>19464</v>
      </c>
      <c r="B1945" t="s">
        <v>37</v>
      </c>
      <c r="C1945" s="4">
        <v>0.03</v>
      </c>
      <c r="D1945" s="8">
        <v>95.99</v>
      </c>
      <c r="E1945" s="4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 s="7">
        <v>94533</v>
      </c>
      <c r="T1945" s="3">
        <v>42135</v>
      </c>
      <c r="U1945" s="3">
        <v>42136</v>
      </c>
      <c r="V1945" s="4">
        <v>67.012000000000057</v>
      </c>
      <c r="W1945">
        <v>9</v>
      </c>
      <c r="X1945">
        <v>894.64</v>
      </c>
      <c r="Y1945" s="7">
        <v>90154</v>
      </c>
    </row>
    <row r="1946" spans="1:25" ht="12.75" customHeight="1">
      <c r="A1946">
        <v>18640</v>
      </c>
      <c r="B1946" t="s">
        <v>56</v>
      </c>
      <c r="C1946" s="4">
        <v>0.08</v>
      </c>
      <c r="D1946" s="8">
        <v>125.99</v>
      </c>
      <c r="E1946" s="4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 s="5">
        <v>0.59</v>
      </c>
      <c r="O1946" t="s">
        <v>33</v>
      </c>
      <c r="P1946" t="s">
        <v>34</v>
      </c>
      <c r="Q1946" t="s">
        <v>35</v>
      </c>
      <c r="R1946" t="s">
        <v>3019</v>
      </c>
      <c r="S1946" s="7">
        <v>99163</v>
      </c>
      <c r="T1946" s="3">
        <v>42123</v>
      </c>
      <c r="U1946" s="3">
        <v>42124</v>
      </c>
      <c r="V1946" s="4">
        <v>374.625</v>
      </c>
      <c r="W1946">
        <v>7</v>
      </c>
      <c r="X1946">
        <v>710.36</v>
      </c>
      <c r="Y1946" s="7">
        <v>87908</v>
      </c>
    </row>
    <row r="1947" spans="1:25" ht="12.75" customHeight="1">
      <c r="A1947">
        <v>19635</v>
      </c>
      <c r="B1947" t="s">
        <v>47</v>
      </c>
      <c r="C1947" s="4">
        <v>0.08</v>
      </c>
      <c r="D1947" s="8">
        <v>4.4800000000000004</v>
      </c>
      <c r="E1947" s="4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 s="5">
        <v>0.37</v>
      </c>
      <c r="O1947" t="s">
        <v>33</v>
      </c>
      <c r="P1947" t="s">
        <v>34</v>
      </c>
      <c r="Q1947" t="s">
        <v>35</v>
      </c>
      <c r="R1947" t="s">
        <v>3019</v>
      </c>
      <c r="S1947" s="7">
        <v>99163</v>
      </c>
      <c r="T1947" s="3">
        <v>42049</v>
      </c>
      <c r="U1947" s="3">
        <v>42050</v>
      </c>
      <c r="V1947" s="4">
        <v>-3.2448000000000001</v>
      </c>
      <c r="W1947">
        <v>19</v>
      </c>
      <c r="X1947">
        <v>80.2</v>
      </c>
      <c r="Y1947" s="7">
        <v>87909</v>
      </c>
    </row>
    <row r="1948" spans="1:25" ht="12.75" customHeight="1">
      <c r="A1948">
        <v>20624</v>
      </c>
      <c r="B1948" t="s">
        <v>106</v>
      </c>
      <c r="C1948" s="4">
        <v>0</v>
      </c>
      <c r="D1948" s="8">
        <v>1270.99</v>
      </c>
      <c r="E1948" s="4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 s="5">
        <v>0.35</v>
      </c>
      <c r="O1948" t="s">
        <v>33</v>
      </c>
      <c r="P1948" t="s">
        <v>61</v>
      </c>
      <c r="Q1948" t="s">
        <v>178</v>
      </c>
      <c r="R1948" t="s">
        <v>1359</v>
      </c>
      <c r="S1948" s="7">
        <v>61832</v>
      </c>
      <c r="T1948" s="3">
        <v>42162</v>
      </c>
      <c r="U1948" s="3">
        <v>42164</v>
      </c>
      <c r="V1948" s="4">
        <v>6384.4388999999992</v>
      </c>
      <c r="W1948">
        <v>7</v>
      </c>
      <c r="X1948">
        <v>9252.81</v>
      </c>
      <c r="Y1948" s="7">
        <v>87535</v>
      </c>
    </row>
    <row r="1949" spans="1:25" ht="12.75" customHeight="1">
      <c r="A1949">
        <v>19842</v>
      </c>
      <c r="B1949" t="s">
        <v>25</v>
      </c>
      <c r="C1949" s="4">
        <v>0.01</v>
      </c>
      <c r="D1949" s="8">
        <v>10.9</v>
      </c>
      <c r="E1949" s="4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 s="5">
        <v>0.59</v>
      </c>
      <c r="O1949" t="s">
        <v>33</v>
      </c>
      <c r="P1949" t="s">
        <v>61</v>
      </c>
      <c r="Q1949" t="s">
        <v>178</v>
      </c>
      <c r="R1949" t="s">
        <v>1359</v>
      </c>
      <c r="S1949" s="7">
        <v>61832</v>
      </c>
      <c r="T1949" s="3">
        <v>42074</v>
      </c>
      <c r="U1949" s="3">
        <v>42075</v>
      </c>
      <c r="V1949" s="4">
        <v>-116.76</v>
      </c>
      <c r="W1949">
        <v>18</v>
      </c>
      <c r="X1949">
        <v>207.31</v>
      </c>
      <c r="Y1949" s="7">
        <v>87536</v>
      </c>
    </row>
    <row r="1950" spans="1:25" ht="12.75" customHeight="1">
      <c r="A1950">
        <v>19843</v>
      </c>
      <c r="B1950" t="s">
        <v>25</v>
      </c>
      <c r="C1950" s="4">
        <v>0.1</v>
      </c>
      <c r="D1950" s="8">
        <v>7.99</v>
      </c>
      <c r="E1950" s="4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 s="5">
        <v>0.6</v>
      </c>
      <c r="O1950" t="s">
        <v>33</v>
      </c>
      <c r="P1950" t="s">
        <v>61</v>
      </c>
      <c r="Q1950" t="s">
        <v>178</v>
      </c>
      <c r="R1950" t="s">
        <v>1359</v>
      </c>
      <c r="S1950" s="7">
        <v>61832</v>
      </c>
      <c r="T1950" s="3">
        <v>42074</v>
      </c>
      <c r="U1950" s="3">
        <v>42075</v>
      </c>
      <c r="V1950" s="4">
        <v>-160.952</v>
      </c>
      <c r="W1950">
        <v>22</v>
      </c>
      <c r="X1950">
        <v>143.12</v>
      </c>
      <c r="Y1950" s="7">
        <v>87536</v>
      </c>
    </row>
    <row r="1951" spans="1:25" ht="12.75" customHeight="1">
      <c r="A1951">
        <v>26208</v>
      </c>
      <c r="B1951" t="s">
        <v>37</v>
      </c>
      <c r="C1951" s="4">
        <v>0.08</v>
      </c>
      <c r="D1951" s="8">
        <v>11.97</v>
      </c>
      <c r="E1951" s="4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 s="5">
        <v>0.6</v>
      </c>
      <c r="O1951" t="s">
        <v>33</v>
      </c>
      <c r="P1951" t="s">
        <v>61</v>
      </c>
      <c r="Q1951" t="s">
        <v>178</v>
      </c>
      <c r="R1951" t="s">
        <v>1522</v>
      </c>
      <c r="S1951" s="7">
        <v>60016</v>
      </c>
      <c r="T1951" s="3">
        <v>42092</v>
      </c>
      <c r="U1951" s="3">
        <v>42094</v>
      </c>
      <c r="V1951" s="4">
        <v>-41.87</v>
      </c>
      <c r="W1951">
        <v>5</v>
      </c>
      <c r="X1951">
        <v>59.98</v>
      </c>
      <c r="Y1951" s="7">
        <v>87534</v>
      </c>
    </row>
    <row r="1952" spans="1:25" ht="12.75" customHeight="1">
      <c r="A1952">
        <v>24911</v>
      </c>
      <c r="B1952" t="s">
        <v>56</v>
      </c>
      <c r="C1952" s="4">
        <v>0.1</v>
      </c>
      <c r="D1952" s="8">
        <v>9.3800000000000008</v>
      </c>
      <c r="E1952" s="4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 s="5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 s="7">
        <v>26554</v>
      </c>
      <c r="T1952" s="3">
        <v>42098</v>
      </c>
      <c r="U1952" s="3">
        <v>42098</v>
      </c>
      <c r="V1952" s="4">
        <v>-24.7104</v>
      </c>
      <c r="W1952">
        <v>15</v>
      </c>
      <c r="X1952">
        <v>135.78</v>
      </c>
      <c r="Y1952" s="7">
        <v>87537</v>
      </c>
    </row>
    <row r="1953" spans="1:25" ht="12.75" customHeight="1">
      <c r="A1953">
        <v>25914</v>
      </c>
      <c r="B1953" t="s">
        <v>25</v>
      </c>
      <c r="C1953" s="4">
        <v>0.1</v>
      </c>
      <c r="D1953" s="8">
        <v>105.98</v>
      </c>
      <c r="E1953" s="4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 s="5">
        <v>0.65</v>
      </c>
      <c r="O1953" t="s">
        <v>33</v>
      </c>
      <c r="P1953" t="s">
        <v>34</v>
      </c>
      <c r="Q1953" t="s">
        <v>2226</v>
      </c>
      <c r="R1953" t="s">
        <v>3028</v>
      </c>
      <c r="S1953" s="7">
        <v>82001</v>
      </c>
      <c r="T1953" s="3">
        <v>42043</v>
      </c>
      <c r="U1953" s="3">
        <v>42046</v>
      </c>
      <c r="V1953" s="4">
        <v>349.48499999999996</v>
      </c>
      <c r="W1953">
        <v>5</v>
      </c>
      <c r="X1953">
        <v>506.5</v>
      </c>
      <c r="Y1953" s="7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9296-F4F3-2943-9667-52A6184BC3C5}">
  <dimension ref="A1:J1133"/>
  <sheetViews>
    <sheetView tabSelected="1" workbookViewId="0">
      <selection activeCell="F17" sqref="F17"/>
    </sheetView>
  </sheetViews>
  <sheetFormatPr baseColWidth="10" defaultRowHeight="13"/>
  <cols>
    <col min="1" max="1" width="24.19921875" style="9" customWidth="1"/>
    <col min="2" max="2" width="17.19921875" customWidth="1"/>
    <col min="3" max="3" width="19.796875" style="9" customWidth="1"/>
    <col min="5" max="5" width="20.19921875" style="9" customWidth="1"/>
    <col min="6" max="6" width="21" style="9" customWidth="1"/>
    <col min="7" max="7" width="27" customWidth="1"/>
    <col min="8" max="8" width="33" customWidth="1"/>
    <col min="9" max="9" width="33.3984375" customWidth="1"/>
    <col min="10" max="10" width="14" customWidth="1"/>
  </cols>
  <sheetData>
    <row r="1" spans="1:10">
      <c r="A1" t="s">
        <v>3044</v>
      </c>
      <c r="B1" t="s">
        <v>3036</v>
      </c>
      <c r="C1" s="9" t="s">
        <v>3037</v>
      </c>
      <c r="D1" t="s">
        <v>3038</v>
      </c>
      <c r="E1" s="9" t="s">
        <v>3040</v>
      </c>
      <c r="F1" s="9" t="s">
        <v>3039</v>
      </c>
      <c r="G1" t="s">
        <v>3041</v>
      </c>
      <c r="H1" t="s">
        <v>3042</v>
      </c>
      <c r="I1" t="s">
        <v>3043</v>
      </c>
      <c r="J1" s="9" t="s">
        <v>3045</v>
      </c>
    </row>
    <row r="2" spans="1:10">
      <c r="A2" s="9" t="str" cm="1">
        <f t="array" ref="A2:A1133">_xlfn.UNIQUE(Orders!G:G)</f>
        <v>Customer Name</v>
      </c>
      <c r="B2" s="8">
        <f>AVERAGE(Orders!D1:D1953)</f>
        <v>109.07922131147592</v>
      </c>
      <c r="C2" s="9">
        <f>AVERAGE(Orders!E1:E1953)</f>
        <v>12.968150614754199</v>
      </c>
      <c r="D2">
        <f>COUNT(Orders!A:A)</f>
        <v>1952</v>
      </c>
      <c r="E2" s="9">
        <f>MIN(Orders!V:V)</f>
        <v>-16476.838</v>
      </c>
      <c r="F2" s="9">
        <f>MAX(Orders!V:V)</f>
        <v>9228.2255999999998</v>
      </c>
      <c r="G2" t="str">
        <f>"South: " &amp; COUNTIF(Orders!P:P, "South")</f>
        <v>South: 442</v>
      </c>
      <c r="H2">
        <f>SUMIF(Orders!W:W, "&gt;19")</f>
        <v>11632</v>
      </c>
      <c r="I2">
        <f>SUMIF(Orders!W:W, "&lt;19")</f>
        <v>12838</v>
      </c>
      <c r="J2" s="9">
        <f>SUM(Orders!V:V)</f>
        <v>224077.61183714995</v>
      </c>
    </row>
    <row r="3" spans="1:10">
      <c r="A3" s="9" t="str">
        <v>Bonnie Potter</v>
      </c>
      <c r="G3" t="str">
        <f>"East: " &amp; COUNTIF(Orders!P:P, "East")</f>
        <v>East: 474</v>
      </c>
    </row>
    <row r="4" spans="1:10">
      <c r="A4" s="9" t="str">
        <v>Ronnie Proctor</v>
      </c>
      <c r="G4" t="str">
        <f>"West: " &amp; COUNTIF(Orders!P:P, "west")</f>
        <v>West: 470</v>
      </c>
    </row>
    <row r="5" spans="1:10">
      <c r="A5" s="9" t="str">
        <v>Marcus Dunlap</v>
      </c>
      <c r="G5" t="str">
        <f>"Central: " &amp; COUNTIF(Orders!P:P, "central")</f>
        <v>Central: 566</v>
      </c>
    </row>
    <row r="6" spans="1:10">
      <c r="A6" s="9" t="str">
        <v>Gwendolyn F Tyson</v>
      </c>
    </row>
    <row r="7" spans="1:10">
      <c r="A7" s="9" t="str">
        <v>Timothy Reese</v>
      </c>
    </row>
    <row r="8" spans="1:10">
      <c r="A8" s="9" t="str">
        <v>Sarah Ramsey</v>
      </c>
    </row>
    <row r="9" spans="1:10">
      <c r="A9" s="9" t="str">
        <v>Laurie Hanna</v>
      </c>
    </row>
    <row r="10" spans="1:10">
      <c r="A10" s="9" t="str">
        <v>Jim Rodgers</v>
      </c>
    </row>
    <row r="11" spans="1:10">
      <c r="A11" s="9" t="str">
        <v>Tony Wilkins Winters</v>
      </c>
    </row>
    <row r="12" spans="1:10">
      <c r="A12" s="9" t="str">
        <v>Edna Thomas</v>
      </c>
    </row>
    <row r="13" spans="1:10">
      <c r="A13" s="9" t="str">
        <v>Guy Gallagher</v>
      </c>
    </row>
    <row r="14" spans="1:10">
      <c r="A14" s="9" t="str">
        <v>Matthew Berman</v>
      </c>
    </row>
    <row r="15" spans="1:10">
      <c r="A15" s="9" t="str">
        <v>Ricky Hensley</v>
      </c>
    </row>
    <row r="16" spans="1:10">
      <c r="A16" s="9" t="str">
        <v>Theodore Moran</v>
      </c>
    </row>
    <row r="17" spans="1:1">
      <c r="A17" s="9" t="str">
        <v>Lorraine Kelly</v>
      </c>
    </row>
    <row r="18" spans="1:1">
      <c r="A18" s="9" t="str">
        <v>Sidney Russell Austin</v>
      </c>
    </row>
    <row r="19" spans="1:1">
      <c r="A19" s="9" t="str">
        <v>Randall Montgomery</v>
      </c>
    </row>
    <row r="20" spans="1:1">
      <c r="A20" s="9" t="str">
        <v>Pam Gilbert</v>
      </c>
    </row>
    <row r="21" spans="1:1">
      <c r="A21" s="9" t="str">
        <v>Lynn Morrow</v>
      </c>
    </row>
    <row r="22" spans="1:1">
      <c r="A22" s="9" t="str">
        <v>Ellen McCormick</v>
      </c>
    </row>
    <row r="23" spans="1:1">
      <c r="A23" s="9" t="str">
        <v>Scott Bunn</v>
      </c>
    </row>
    <row r="24" spans="1:1">
      <c r="A24" s="9" t="str">
        <v>Annette Boone</v>
      </c>
    </row>
    <row r="25" spans="1:1">
      <c r="A25" s="9" t="str">
        <v>Edgar Stone</v>
      </c>
    </row>
    <row r="26" spans="1:1">
      <c r="A26" s="9" t="str">
        <v>Helen Stein</v>
      </c>
    </row>
    <row r="27" spans="1:1">
      <c r="A27" s="9" t="str">
        <v>Norman Shields</v>
      </c>
    </row>
    <row r="28" spans="1:1">
      <c r="A28" s="9" t="str">
        <v>Wallace Werner</v>
      </c>
    </row>
    <row r="29" spans="1:1">
      <c r="A29" s="9" t="str">
        <v>Victoria Baker Hoover</v>
      </c>
    </row>
    <row r="30" spans="1:1">
      <c r="A30" s="9" t="str">
        <v>Eddie House Mueller</v>
      </c>
    </row>
    <row r="31" spans="1:1">
      <c r="A31" s="9" t="str">
        <v>Max McKenna</v>
      </c>
    </row>
    <row r="32" spans="1:1">
      <c r="A32" s="9" t="str">
        <v>Claudia Boyle</v>
      </c>
    </row>
    <row r="33" spans="1:1">
      <c r="A33" s="9" t="str">
        <v>Caroline Johnston</v>
      </c>
    </row>
    <row r="34" spans="1:1">
      <c r="A34" s="9" t="str">
        <v>Lois Hamilton</v>
      </c>
    </row>
    <row r="35" spans="1:1">
      <c r="A35" s="9" t="str">
        <v>Tom McFarland</v>
      </c>
    </row>
    <row r="36" spans="1:1">
      <c r="A36" s="9" t="str">
        <v>Ron Newton</v>
      </c>
    </row>
    <row r="37" spans="1:1">
      <c r="A37" s="9" t="str">
        <v>Dwight M Carr</v>
      </c>
    </row>
    <row r="38" spans="1:1">
      <c r="A38" s="9" t="str">
        <v>Linda Weiss</v>
      </c>
    </row>
    <row r="39" spans="1:1">
      <c r="A39" s="9" t="str">
        <v>Helen H Murphy</v>
      </c>
    </row>
    <row r="40" spans="1:1">
      <c r="A40" s="9" t="str">
        <v>Shawn Stern</v>
      </c>
    </row>
    <row r="41" spans="1:1">
      <c r="A41" s="9" t="str">
        <v>Kara Allison</v>
      </c>
    </row>
    <row r="42" spans="1:1">
      <c r="A42" s="9" t="str">
        <v>Dale Gillespie</v>
      </c>
    </row>
    <row r="43" spans="1:1">
      <c r="A43" s="9" t="str">
        <v>Brooke Weeks Taylor</v>
      </c>
    </row>
    <row r="44" spans="1:1">
      <c r="A44" s="9" t="str">
        <v>Marguerite Moss</v>
      </c>
    </row>
    <row r="45" spans="1:1">
      <c r="A45" s="9" t="str">
        <v>Rhonda Ivey</v>
      </c>
    </row>
    <row r="46" spans="1:1">
      <c r="A46" s="9" t="str">
        <v>Yvonne Fox</v>
      </c>
    </row>
    <row r="47" spans="1:1">
      <c r="A47" s="9" t="str">
        <v>Geoffrey Zhu</v>
      </c>
    </row>
    <row r="48" spans="1:1">
      <c r="A48" s="9" t="str">
        <v>Kent Kerr</v>
      </c>
    </row>
    <row r="49" spans="1:1">
      <c r="A49" s="9" t="str">
        <v>Diana Xu</v>
      </c>
    </row>
    <row r="50" spans="1:1">
      <c r="A50" s="9" t="str">
        <v>Robin Kramer Vaughn</v>
      </c>
    </row>
    <row r="51" spans="1:1">
      <c r="A51" s="9" t="str">
        <v>Vicki Hauser</v>
      </c>
    </row>
    <row r="52" spans="1:1">
      <c r="A52" s="9" t="str">
        <v>Janice Cole</v>
      </c>
    </row>
    <row r="53" spans="1:1">
      <c r="A53" s="9" t="str">
        <v>Christina Matthews</v>
      </c>
    </row>
    <row r="54" spans="1:1">
      <c r="A54" s="9" t="str">
        <v>Wesley Waller</v>
      </c>
    </row>
    <row r="55" spans="1:1">
      <c r="A55" s="9" t="str">
        <v>Phillip Holmes</v>
      </c>
    </row>
    <row r="56" spans="1:1">
      <c r="A56" s="9" t="str">
        <v>Alex Harrell</v>
      </c>
    </row>
    <row r="57" spans="1:1">
      <c r="A57" s="9" t="str">
        <v>Lloyd Norris</v>
      </c>
    </row>
    <row r="58" spans="1:1">
      <c r="A58" s="9" t="str">
        <v>Gerald Kearney</v>
      </c>
    </row>
    <row r="59" spans="1:1">
      <c r="A59" s="9" t="str">
        <v>Danny Hong</v>
      </c>
    </row>
    <row r="60" spans="1:1">
      <c r="A60" s="9" t="str">
        <v>Tammy Goldman</v>
      </c>
    </row>
    <row r="61" spans="1:1">
      <c r="A61" s="9" t="str">
        <v>Samantha Weaver</v>
      </c>
    </row>
    <row r="62" spans="1:1">
      <c r="A62" s="9" t="str">
        <v>Leroy Blanchard</v>
      </c>
    </row>
    <row r="63" spans="1:1">
      <c r="A63" s="9" t="str">
        <v>Max Small</v>
      </c>
    </row>
    <row r="64" spans="1:1">
      <c r="A64" s="9" t="str">
        <v>Floyd Dale</v>
      </c>
    </row>
    <row r="65" spans="1:1">
      <c r="A65" s="9" t="str">
        <v>Anna Wood</v>
      </c>
    </row>
    <row r="66" spans="1:1">
      <c r="A66" s="9" t="str">
        <v>Frances Saunders</v>
      </c>
    </row>
    <row r="67" spans="1:1">
      <c r="A67" s="9" t="str">
        <v>Colleen Andrews</v>
      </c>
    </row>
    <row r="68" spans="1:1">
      <c r="A68" s="9" t="str">
        <v>Michele Bullard</v>
      </c>
    </row>
    <row r="69" spans="1:1">
      <c r="A69" s="9" t="str">
        <v>Don Cameron</v>
      </c>
    </row>
    <row r="70" spans="1:1">
      <c r="A70" s="9" t="str">
        <v>Shawn McIntyre</v>
      </c>
    </row>
    <row r="71" spans="1:1">
      <c r="A71" s="9" t="str">
        <v>Gilbert Scarborough</v>
      </c>
    </row>
    <row r="72" spans="1:1">
      <c r="A72" s="9" t="str">
        <v>Amy Ellis Holder</v>
      </c>
    </row>
    <row r="73" spans="1:1">
      <c r="A73" s="9" t="str">
        <v>Marshall Brandt Briggs</v>
      </c>
    </row>
    <row r="74" spans="1:1">
      <c r="A74" s="9" t="str">
        <v>Brenda Nelson Blanchard</v>
      </c>
    </row>
    <row r="75" spans="1:1">
      <c r="A75" s="9" t="str">
        <v>Brett Hawkins</v>
      </c>
    </row>
    <row r="76" spans="1:1">
      <c r="A76" s="9" t="str">
        <v>Irene Li</v>
      </c>
    </row>
    <row r="77" spans="1:1">
      <c r="A77" s="9" t="str">
        <v>Allan Shields</v>
      </c>
    </row>
    <row r="78" spans="1:1">
      <c r="A78" s="9" t="str">
        <v>Edward Pugh</v>
      </c>
    </row>
    <row r="79" spans="1:1">
      <c r="A79" s="9" t="str">
        <v>Carlos Hess</v>
      </c>
    </row>
    <row r="80" spans="1:1">
      <c r="A80" s="9" t="str">
        <v>Ross Frederick</v>
      </c>
    </row>
    <row r="81" spans="1:1">
      <c r="A81" s="9" t="str">
        <v>James Beck</v>
      </c>
    </row>
    <row r="82" spans="1:1">
      <c r="A82" s="9" t="str">
        <v>Calvin Boyette</v>
      </c>
    </row>
    <row r="83" spans="1:1">
      <c r="A83" s="9" t="str">
        <v>Sam Rouse</v>
      </c>
    </row>
    <row r="84" spans="1:1">
      <c r="A84" s="9" t="str">
        <v>Eleanor Swain</v>
      </c>
    </row>
    <row r="85" spans="1:1">
      <c r="A85" s="9" t="str">
        <v>Roger Blalock Cassidy</v>
      </c>
    </row>
    <row r="86" spans="1:1">
      <c r="A86" s="9" t="str">
        <v>Lucille Rankin</v>
      </c>
    </row>
    <row r="87" spans="1:1">
      <c r="A87" s="9" t="str">
        <v>Vickie Andrews</v>
      </c>
    </row>
    <row r="88" spans="1:1">
      <c r="A88" s="9" t="str">
        <v>Pauline Boyette</v>
      </c>
    </row>
    <row r="89" spans="1:1">
      <c r="A89" s="9" t="str">
        <v>Virginia Gay</v>
      </c>
    </row>
    <row r="90" spans="1:1">
      <c r="A90" s="9" t="str">
        <v>Patricia Cole Blair</v>
      </c>
    </row>
    <row r="91" spans="1:1">
      <c r="A91" s="9" t="str">
        <v>Sara O'Connor</v>
      </c>
    </row>
    <row r="92" spans="1:1">
      <c r="A92" s="9" t="str">
        <v>Thomas McAllister</v>
      </c>
    </row>
    <row r="93" spans="1:1">
      <c r="A93" s="9" t="str">
        <v>Glen Caldwell</v>
      </c>
    </row>
    <row r="94" spans="1:1">
      <c r="A94" s="9" t="str">
        <v>Ruby Gibbons</v>
      </c>
    </row>
    <row r="95" spans="1:1">
      <c r="A95" s="9" t="str">
        <v>Benjamin Kaufman</v>
      </c>
    </row>
    <row r="96" spans="1:1">
      <c r="A96" s="9" t="str">
        <v>Katherine Kearney</v>
      </c>
    </row>
    <row r="97" spans="1:1">
      <c r="A97" s="9" t="str">
        <v>Arthur Lowe Nash</v>
      </c>
    </row>
    <row r="98" spans="1:1">
      <c r="A98" s="9" t="str">
        <v>Brenda May</v>
      </c>
    </row>
    <row r="99" spans="1:1">
      <c r="A99" s="9" t="str">
        <v>Faye Dyer</v>
      </c>
    </row>
    <row r="100" spans="1:1">
      <c r="A100" s="9" t="str">
        <v>Bradley Pollock</v>
      </c>
    </row>
    <row r="101" spans="1:1">
      <c r="A101" s="9" t="str">
        <v>Curtis O'Connell</v>
      </c>
    </row>
    <row r="102" spans="1:1">
      <c r="A102" s="9" t="str">
        <v>Bobby Clements</v>
      </c>
    </row>
    <row r="103" spans="1:1">
      <c r="A103" s="9" t="str">
        <v>Jacqueline Noble</v>
      </c>
    </row>
    <row r="104" spans="1:1">
      <c r="A104" s="9" t="str">
        <v>Lynn Epstein</v>
      </c>
    </row>
    <row r="105" spans="1:1">
      <c r="A105" s="9" t="str">
        <v>Rosemary English</v>
      </c>
    </row>
    <row r="106" spans="1:1">
      <c r="A106" s="9" t="str">
        <v>Kim Weiss</v>
      </c>
    </row>
    <row r="107" spans="1:1">
      <c r="A107" s="9" t="str">
        <v>Juanita Coley Knox</v>
      </c>
    </row>
    <row r="108" spans="1:1">
      <c r="A108" s="9" t="str">
        <v>Bonnie Chambers</v>
      </c>
    </row>
    <row r="109" spans="1:1">
      <c r="A109" s="9" t="str">
        <v>Barbara McNamara</v>
      </c>
    </row>
    <row r="110" spans="1:1">
      <c r="A110" s="9" t="str">
        <v>Chris F Brandt</v>
      </c>
    </row>
    <row r="111" spans="1:1">
      <c r="A111" s="9" t="str">
        <v>Patrick Rosenthal</v>
      </c>
    </row>
    <row r="112" spans="1:1">
      <c r="A112" s="9" t="str">
        <v>Troy Moon</v>
      </c>
    </row>
    <row r="113" spans="1:1">
      <c r="A113" s="9" t="str">
        <v>Sam Oh</v>
      </c>
    </row>
    <row r="114" spans="1:1">
      <c r="A114" s="9" t="str">
        <v>Roberta Mullins Peters</v>
      </c>
    </row>
    <row r="115" spans="1:1">
      <c r="A115" s="9" t="str">
        <v>Jeanne Werner</v>
      </c>
    </row>
    <row r="116" spans="1:1">
      <c r="A116" s="9" t="str">
        <v>Sandra Sharma</v>
      </c>
    </row>
    <row r="117" spans="1:1">
      <c r="A117" s="9" t="str">
        <v>Sylvia Bush</v>
      </c>
    </row>
    <row r="118" spans="1:1">
      <c r="A118" s="9" t="str">
        <v>Danielle Watts</v>
      </c>
    </row>
    <row r="119" spans="1:1">
      <c r="A119" s="9" t="str">
        <v>Renee Alston</v>
      </c>
    </row>
    <row r="120" spans="1:1">
      <c r="A120" s="9" t="str">
        <v>Angela Howe</v>
      </c>
    </row>
    <row r="121" spans="1:1">
      <c r="A121" s="9" t="str">
        <v>Roger Schwartz</v>
      </c>
    </row>
    <row r="122" spans="1:1">
      <c r="A122" s="9" t="str">
        <v>Joel Buckley</v>
      </c>
    </row>
    <row r="123" spans="1:1">
      <c r="A123" s="9" t="str">
        <v>Erica R Fuller</v>
      </c>
    </row>
    <row r="124" spans="1:1">
      <c r="A124" s="9" t="str">
        <v>Shawn Combs</v>
      </c>
    </row>
    <row r="125" spans="1:1">
      <c r="A125" s="9" t="str">
        <v>Monica McCormick</v>
      </c>
    </row>
    <row r="126" spans="1:1">
      <c r="A126" s="9" t="str">
        <v>Denise Carver</v>
      </c>
    </row>
    <row r="127" spans="1:1">
      <c r="A127" s="9" t="str">
        <v>Bruce Stark</v>
      </c>
    </row>
    <row r="128" spans="1:1">
      <c r="A128" s="9" t="str">
        <v>June Frank Hammond</v>
      </c>
    </row>
    <row r="129" spans="1:1">
      <c r="A129" s="9" t="str">
        <v>Calvin Parsons Walter</v>
      </c>
    </row>
    <row r="130" spans="1:1">
      <c r="A130" s="9" t="str">
        <v>Carolyn Proctor</v>
      </c>
    </row>
    <row r="131" spans="1:1">
      <c r="A131" s="9" t="str">
        <v>Scott Feldman</v>
      </c>
    </row>
    <row r="132" spans="1:1">
      <c r="A132" s="9" t="str">
        <v>Ernest Barber</v>
      </c>
    </row>
    <row r="133" spans="1:1">
      <c r="A133" s="9" t="str">
        <v>Alice Berger McIntyre</v>
      </c>
    </row>
    <row r="134" spans="1:1">
      <c r="A134" s="9" t="str">
        <v>Thelma Abrams</v>
      </c>
    </row>
    <row r="135" spans="1:1">
      <c r="A135" s="9" t="str">
        <v>Judy Barrett</v>
      </c>
    </row>
    <row r="136" spans="1:1">
      <c r="A136" s="9" t="str">
        <v>Valerie Moon</v>
      </c>
    </row>
    <row r="137" spans="1:1">
      <c r="A137" s="9" t="str">
        <v>Joyce Murray</v>
      </c>
    </row>
    <row r="138" spans="1:1">
      <c r="A138" s="9" t="str">
        <v>Leslie Rowland</v>
      </c>
    </row>
    <row r="139" spans="1:1">
      <c r="A139" s="9" t="str">
        <v>George Terry</v>
      </c>
    </row>
    <row r="140" spans="1:1">
      <c r="A140" s="9" t="str">
        <v>Anne Armstrong</v>
      </c>
    </row>
    <row r="141" spans="1:1">
      <c r="A141" s="9" t="str">
        <v>Debbie Stevenson</v>
      </c>
    </row>
    <row r="142" spans="1:1">
      <c r="A142" s="9" t="str">
        <v>Marc Nash</v>
      </c>
    </row>
    <row r="143" spans="1:1">
      <c r="A143" s="9" t="str">
        <v>Maria Thomas</v>
      </c>
    </row>
    <row r="144" spans="1:1">
      <c r="A144" s="9" t="str">
        <v>Craig Bennett</v>
      </c>
    </row>
    <row r="145" spans="1:1">
      <c r="A145" s="9" t="str">
        <v>Marion Bowling</v>
      </c>
    </row>
    <row r="146" spans="1:1">
      <c r="A146" s="9" t="str">
        <v>Tony Doyle</v>
      </c>
    </row>
    <row r="147" spans="1:1">
      <c r="A147" s="9" t="str">
        <v>Ross Simpson</v>
      </c>
    </row>
    <row r="148" spans="1:1">
      <c r="A148" s="9" t="str">
        <v>Donna Craven</v>
      </c>
    </row>
    <row r="149" spans="1:1">
      <c r="A149" s="9" t="str">
        <v>Edgar McKenzie</v>
      </c>
    </row>
    <row r="150" spans="1:1">
      <c r="A150" s="9" t="str">
        <v>Edward Leonard</v>
      </c>
    </row>
    <row r="151" spans="1:1">
      <c r="A151" s="9" t="str">
        <v>Molly Vincent</v>
      </c>
    </row>
    <row r="152" spans="1:1">
      <c r="A152" s="9" t="str">
        <v>Ronnie Creech</v>
      </c>
    </row>
    <row r="153" spans="1:1">
      <c r="A153" s="9" t="str">
        <v>Eileen Cheek</v>
      </c>
    </row>
    <row r="154" spans="1:1">
      <c r="A154" s="9" t="str">
        <v>Toni Swanson</v>
      </c>
    </row>
    <row r="155" spans="1:1">
      <c r="A155" s="9" t="str">
        <v>Douglas Buck</v>
      </c>
    </row>
    <row r="156" spans="1:1">
      <c r="A156" s="9" t="str">
        <v>Jimmy Alston Holder</v>
      </c>
    </row>
    <row r="157" spans="1:1">
      <c r="A157" s="9" t="str">
        <v>Steve McKee</v>
      </c>
    </row>
    <row r="158" spans="1:1">
      <c r="A158" s="9" t="str">
        <v>Carol Saunders</v>
      </c>
    </row>
    <row r="159" spans="1:1">
      <c r="A159" s="9" t="str">
        <v>Cameron Owens</v>
      </c>
    </row>
    <row r="160" spans="1:1">
      <c r="A160" s="9" t="str">
        <v>Gregory Rao</v>
      </c>
    </row>
    <row r="161" spans="1:1">
      <c r="A161" s="9" t="str">
        <v>Mark Ritchie</v>
      </c>
    </row>
    <row r="162" spans="1:1">
      <c r="A162" s="9" t="str">
        <v>Aaron Riggs</v>
      </c>
    </row>
    <row r="163" spans="1:1">
      <c r="A163" s="9" t="str">
        <v>Gina McKnight</v>
      </c>
    </row>
    <row r="164" spans="1:1">
      <c r="A164" s="9" t="str">
        <v>April Hu</v>
      </c>
    </row>
    <row r="165" spans="1:1">
      <c r="A165" s="9" t="str">
        <v>Jill Clements</v>
      </c>
    </row>
    <row r="166" spans="1:1">
      <c r="A166" s="9" t="str">
        <v>Alice Coley</v>
      </c>
    </row>
    <row r="167" spans="1:1">
      <c r="A167" s="9" t="str">
        <v>Ruth Lamm</v>
      </c>
    </row>
    <row r="168" spans="1:1">
      <c r="A168" s="9" t="str">
        <v>Henry Ball</v>
      </c>
    </row>
    <row r="169" spans="1:1">
      <c r="A169" s="9" t="str">
        <v>Dennis Boykin Townsend</v>
      </c>
    </row>
    <row r="170" spans="1:1">
      <c r="A170" s="9" t="str">
        <v>Edna Monroe Talley</v>
      </c>
    </row>
    <row r="171" spans="1:1">
      <c r="A171" s="9" t="str">
        <v>Peggy Chan</v>
      </c>
    </row>
    <row r="172" spans="1:1">
      <c r="A172" s="9" t="str">
        <v>Kristine Connolly</v>
      </c>
    </row>
    <row r="173" spans="1:1">
      <c r="A173" s="9" t="str">
        <v>Walter Young</v>
      </c>
    </row>
    <row r="174" spans="1:1">
      <c r="A174" s="9" t="str">
        <v>Kristina Sanders</v>
      </c>
    </row>
    <row r="175" spans="1:1">
      <c r="A175" s="9" t="str">
        <v>Peter McConnell</v>
      </c>
    </row>
    <row r="176" spans="1:1">
      <c r="A176" s="9" t="str">
        <v>Katharine Bass</v>
      </c>
    </row>
    <row r="177" spans="1:1">
      <c r="A177" s="9" t="str">
        <v>Vanessa Winstead</v>
      </c>
    </row>
    <row r="178" spans="1:1">
      <c r="A178" s="9" t="str">
        <v>Gordon Lyon</v>
      </c>
    </row>
    <row r="179" spans="1:1">
      <c r="A179" s="9" t="str">
        <v>Evan K Bullard</v>
      </c>
    </row>
    <row r="180" spans="1:1">
      <c r="A180" s="9" t="str">
        <v>Marlene Abrams</v>
      </c>
    </row>
    <row r="181" spans="1:1">
      <c r="A181" s="9" t="str">
        <v>Kathryn Patrick</v>
      </c>
    </row>
    <row r="182" spans="1:1">
      <c r="A182" s="9" t="str">
        <v>Timothy Currie</v>
      </c>
    </row>
    <row r="183" spans="1:1">
      <c r="A183" s="9" t="str">
        <v>William Larson</v>
      </c>
    </row>
    <row r="184" spans="1:1">
      <c r="A184" s="9" t="str">
        <v>Eva Silverman</v>
      </c>
    </row>
    <row r="185" spans="1:1">
      <c r="A185" s="9" t="str">
        <v>Joel Huffman</v>
      </c>
    </row>
    <row r="186" spans="1:1">
      <c r="A186" s="9" t="str">
        <v>Charlie Moore</v>
      </c>
    </row>
    <row r="187" spans="1:1">
      <c r="A187" s="9" t="str">
        <v>Doris Fitzpatrick</v>
      </c>
    </row>
    <row r="188" spans="1:1">
      <c r="A188" s="9" t="str">
        <v>Alexandra Wise</v>
      </c>
    </row>
    <row r="189" spans="1:1">
      <c r="A189" s="9" t="str">
        <v>Vickie Morse</v>
      </c>
    </row>
    <row r="190" spans="1:1">
      <c r="A190" s="9" t="str">
        <v>Gretchen Ball</v>
      </c>
    </row>
    <row r="191" spans="1:1">
      <c r="A191" s="9" t="str">
        <v>Lindsay P Ashley</v>
      </c>
    </row>
    <row r="192" spans="1:1">
      <c r="A192" s="9" t="str">
        <v>Alison Peters Wooten</v>
      </c>
    </row>
    <row r="193" spans="1:1">
      <c r="A193" s="9" t="str">
        <v>Brett Schultz</v>
      </c>
    </row>
    <row r="194" spans="1:1">
      <c r="A194" s="9" t="str">
        <v>Robert Cowan</v>
      </c>
    </row>
    <row r="195" spans="1:1">
      <c r="A195" s="9" t="str">
        <v>Howard Rogers</v>
      </c>
    </row>
    <row r="196" spans="1:1">
      <c r="A196" s="9" t="str">
        <v>Heather Stern</v>
      </c>
    </row>
    <row r="197" spans="1:1">
      <c r="A197" s="9" t="str">
        <v>Hazel Khan</v>
      </c>
    </row>
    <row r="198" spans="1:1">
      <c r="A198" s="9" t="str">
        <v>Jenny Petty</v>
      </c>
    </row>
    <row r="199" spans="1:1">
      <c r="A199" s="9" t="str">
        <v>Terry Klein</v>
      </c>
    </row>
    <row r="200" spans="1:1">
      <c r="A200" s="9" t="str">
        <v>Scott McKenna</v>
      </c>
    </row>
    <row r="201" spans="1:1">
      <c r="A201" s="9" t="str">
        <v>Juan Justice</v>
      </c>
    </row>
    <row r="202" spans="1:1">
      <c r="A202" s="9" t="str">
        <v>Christopher Bryant</v>
      </c>
    </row>
    <row r="203" spans="1:1">
      <c r="A203" s="9" t="str">
        <v>Brooke Shepherd</v>
      </c>
    </row>
    <row r="204" spans="1:1">
      <c r="A204" s="9" t="str">
        <v>Lois Rowland</v>
      </c>
    </row>
    <row r="205" spans="1:1">
      <c r="A205" s="9" t="str">
        <v>Neal Wolfe</v>
      </c>
    </row>
    <row r="206" spans="1:1">
      <c r="A206" s="9" t="str">
        <v>Robin High</v>
      </c>
    </row>
    <row r="207" spans="1:1">
      <c r="A207" s="9" t="str">
        <v>Steve O'Brien</v>
      </c>
    </row>
    <row r="208" spans="1:1">
      <c r="A208" s="9" t="str">
        <v>Roger Meyer</v>
      </c>
    </row>
    <row r="209" spans="1:1">
      <c r="A209" s="9" t="str">
        <v>Leah Clapp</v>
      </c>
    </row>
    <row r="210" spans="1:1">
      <c r="A210" s="9" t="str">
        <v>Ann Katz</v>
      </c>
    </row>
    <row r="211" spans="1:1">
      <c r="A211" s="9" t="str">
        <v>Derek McCormick</v>
      </c>
    </row>
    <row r="212" spans="1:1">
      <c r="A212" s="9" t="str">
        <v>Marjorie Arthur</v>
      </c>
    </row>
    <row r="213" spans="1:1">
      <c r="A213" s="9" t="str">
        <v>Hilda Bennett</v>
      </c>
    </row>
    <row r="214" spans="1:1">
      <c r="A214" s="9" t="str">
        <v>Miriam Mueller</v>
      </c>
    </row>
    <row r="215" spans="1:1">
      <c r="A215" s="9" t="str">
        <v>Emily Sims</v>
      </c>
    </row>
    <row r="216" spans="1:1">
      <c r="A216" s="9" t="str">
        <v>Allison Kirby</v>
      </c>
    </row>
    <row r="217" spans="1:1">
      <c r="A217" s="9" t="str">
        <v>Amy Shea</v>
      </c>
    </row>
    <row r="218" spans="1:1">
      <c r="A218" s="9" t="str">
        <v>Lewis Baldwin</v>
      </c>
    </row>
    <row r="219" spans="1:1">
      <c r="A219" s="9" t="str">
        <v>Brian Leach</v>
      </c>
    </row>
    <row r="220" spans="1:1">
      <c r="A220" s="9" t="str">
        <v>Albert Frost</v>
      </c>
    </row>
    <row r="221" spans="1:1">
      <c r="A221" s="9" t="str">
        <v>Edward McKenzie</v>
      </c>
    </row>
    <row r="222" spans="1:1">
      <c r="A222" s="9" t="str">
        <v>Katie Dougherty</v>
      </c>
    </row>
    <row r="223" spans="1:1">
      <c r="A223" s="9" t="str">
        <v>Laurence Poe</v>
      </c>
    </row>
    <row r="224" spans="1:1">
      <c r="A224" s="9" t="str">
        <v>Seth Merrill</v>
      </c>
    </row>
    <row r="225" spans="1:1">
      <c r="A225" s="9" t="str">
        <v>Ashley Reese</v>
      </c>
    </row>
    <row r="226" spans="1:1">
      <c r="A226" s="9" t="str">
        <v>Tommy Honeycutt</v>
      </c>
    </row>
    <row r="227" spans="1:1">
      <c r="A227" s="9" t="str">
        <v>Alicia Curtis</v>
      </c>
    </row>
    <row r="228" spans="1:1">
      <c r="A228" s="9" t="str">
        <v>Richard McClure</v>
      </c>
    </row>
    <row r="229" spans="1:1">
      <c r="A229" s="9" t="str">
        <v>Johnny Reid</v>
      </c>
    </row>
    <row r="230" spans="1:1">
      <c r="A230" s="9" t="str">
        <v>Adam G Sawyer</v>
      </c>
    </row>
    <row r="231" spans="1:1">
      <c r="A231" s="9" t="str">
        <v>Nelson Hensley</v>
      </c>
    </row>
    <row r="232" spans="1:1">
      <c r="A232" s="9" t="str">
        <v>Jenny Gold</v>
      </c>
    </row>
    <row r="233" spans="1:1">
      <c r="A233" s="9" t="str">
        <v>Joseph Grossman</v>
      </c>
    </row>
    <row r="234" spans="1:1">
      <c r="A234" s="9" t="str">
        <v>Kelly O'Connor</v>
      </c>
    </row>
    <row r="235" spans="1:1">
      <c r="A235" s="9" t="str">
        <v>Pam Anthony</v>
      </c>
    </row>
    <row r="236" spans="1:1">
      <c r="A236" s="9" t="str">
        <v>Stephen Lam</v>
      </c>
    </row>
    <row r="237" spans="1:1">
      <c r="A237" s="9" t="str">
        <v>Melvin Duke</v>
      </c>
    </row>
    <row r="238" spans="1:1">
      <c r="A238" s="9" t="str">
        <v>Beverly Cooke Brooks</v>
      </c>
    </row>
    <row r="239" spans="1:1">
      <c r="A239" s="9" t="str">
        <v>Lindsay Link</v>
      </c>
    </row>
    <row r="240" spans="1:1">
      <c r="A240" s="9" t="str">
        <v>June Herbert</v>
      </c>
    </row>
    <row r="241" spans="1:1">
      <c r="A241" s="9" t="str">
        <v>Meredith Walters</v>
      </c>
    </row>
    <row r="242" spans="1:1">
      <c r="A242" s="9" t="str">
        <v>Danny Vaughn</v>
      </c>
    </row>
    <row r="243" spans="1:1">
      <c r="A243" s="9" t="str">
        <v>Peggy Rowe</v>
      </c>
    </row>
    <row r="244" spans="1:1">
      <c r="A244" s="9" t="str">
        <v>Stacey Hale</v>
      </c>
    </row>
    <row r="245" spans="1:1">
      <c r="A245" s="9" t="str">
        <v>Joy Maxwell</v>
      </c>
    </row>
    <row r="246" spans="1:1">
      <c r="A246" s="9" t="str">
        <v>Mary Page</v>
      </c>
    </row>
    <row r="247" spans="1:1">
      <c r="A247" s="9" t="str">
        <v>Jordan Wilkinson</v>
      </c>
    </row>
    <row r="248" spans="1:1">
      <c r="A248" s="9" t="str">
        <v>David Wrenn</v>
      </c>
    </row>
    <row r="249" spans="1:1">
      <c r="A249" s="9" t="str">
        <v>Elisabeth Massey</v>
      </c>
    </row>
    <row r="250" spans="1:1">
      <c r="A250" s="9" t="str">
        <v>Helen Lyons</v>
      </c>
    </row>
    <row r="251" spans="1:1">
      <c r="A251" s="9" t="str">
        <v>Neil Hogan</v>
      </c>
    </row>
    <row r="252" spans="1:1">
      <c r="A252" s="9" t="str">
        <v>Bernice F Day</v>
      </c>
    </row>
    <row r="253" spans="1:1">
      <c r="A253" s="9" t="str">
        <v>Stuart Holloway</v>
      </c>
    </row>
    <row r="254" spans="1:1">
      <c r="A254" s="9" t="str">
        <v>Jeffrey Mueller</v>
      </c>
    </row>
    <row r="255" spans="1:1">
      <c r="A255" s="9" t="str">
        <v>Geraldine Puckett</v>
      </c>
    </row>
    <row r="256" spans="1:1">
      <c r="A256" s="9" t="str">
        <v>Deborah Paul</v>
      </c>
    </row>
    <row r="257" spans="1:1">
      <c r="A257" s="9" t="str">
        <v>Jean Webster</v>
      </c>
    </row>
    <row r="258" spans="1:1">
      <c r="A258" s="9" t="str">
        <v>Sarah N Becker</v>
      </c>
    </row>
    <row r="259" spans="1:1">
      <c r="A259" s="9" t="str">
        <v>Carlos Byrd</v>
      </c>
    </row>
    <row r="260" spans="1:1">
      <c r="A260" s="9" t="str">
        <v>Jason Bray</v>
      </c>
    </row>
    <row r="261" spans="1:1">
      <c r="A261" s="9" t="str">
        <v>Holly Pate</v>
      </c>
    </row>
    <row r="262" spans="1:1">
      <c r="A262" s="9" t="str">
        <v>Amanda Conner</v>
      </c>
    </row>
    <row r="263" spans="1:1">
      <c r="A263" s="9" t="str">
        <v>Eileen Riddle</v>
      </c>
    </row>
    <row r="264" spans="1:1">
      <c r="A264" s="9" t="str">
        <v>Lee McKenna Gregory</v>
      </c>
    </row>
    <row r="265" spans="1:1">
      <c r="A265" s="9" t="str">
        <v>Cheryl Guthrie</v>
      </c>
    </row>
    <row r="266" spans="1:1">
      <c r="A266" s="9" t="str">
        <v>Marianne Goldstein</v>
      </c>
    </row>
    <row r="267" spans="1:1">
      <c r="A267" s="9" t="str">
        <v>Judy Singer</v>
      </c>
    </row>
    <row r="268" spans="1:1">
      <c r="A268" s="9" t="str">
        <v>Catherine Mullins</v>
      </c>
    </row>
    <row r="269" spans="1:1">
      <c r="A269" s="9" t="str">
        <v>Christian Albright</v>
      </c>
    </row>
    <row r="270" spans="1:1">
      <c r="A270" s="9" t="str">
        <v>Joann Moser</v>
      </c>
    </row>
    <row r="271" spans="1:1">
      <c r="A271" s="9" t="str">
        <v>Marvin Hunt</v>
      </c>
    </row>
    <row r="272" spans="1:1">
      <c r="A272" s="9" t="str">
        <v>Sheryl Marsh</v>
      </c>
    </row>
    <row r="273" spans="1:1">
      <c r="A273" s="9" t="str">
        <v>Monica Law Thompson</v>
      </c>
    </row>
    <row r="274" spans="1:1">
      <c r="A274" s="9" t="str">
        <v>Douglas Sutton</v>
      </c>
    </row>
    <row r="275" spans="1:1">
      <c r="A275" s="9" t="str">
        <v>Gerald Love</v>
      </c>
    </row>
    <row r="276" spans="1:1">
      <c r="A276" s="9" t="str">
        <v>Jesse Hutchinson</v>
      </c>
    </row>
    <row r="277" spans="1:1">
      <c r="A277" s="9" t="str">
        <v>Helen H Heller</v>
      </c>
    </row>
    <row r="278" spans="1:1">
      <c r="A278" s="9" t="str">
        <v>Leah Davenport</v>
      </c>
    </row>
    <row r="279" spans="1:1">
      <c r="A279" s="9" t="str">
        <v>Karen Hendricks</v>
      </c>
    </row>
    <row r="280" spans="1:1">
      <c r="A280" s="9" t="str">
        <v>Jacob Lanier</v>
      </c>
    </row>
    <row r="281" spans="1:1">
      <c r="A281" s="9" t="str">
        <v>Arthur Brady</v>
      </c>
    </row>
    <row r="282" spans="1:1">
      <c r="A282" s="9" t="str">
        <v>Dana Burgess</v>
      </c>
    </row>
    <row r="283" spans="1:1">
      <c r="A283" s="9" t="str">
        <v>Sharon Ellis</v>
      </c>
    </row>
    <row r="284" spans="1:1">
      <c r="A284" s="9" t="str">
        <v>Sandy Ellington</v>
      </c>
    </row>
    <row r="285" spans="1:1">
      <c r="A285" s="9" t="str">
        <v>Erika Fink</v>
      </c>
    </row>
    <row r="286" spans="1:1">
      <c r="A286" s="9" t="str">
        <v>Ellen Beck</v>
      </c>
    </row>
    <row r="287" spans="1:1">
      <c r="A287" s="9" t="str">
        <v>Malcolm Robertson</v>
      </c>
    </row>
    <row r="288" spans="1:1">
      <c r="A288" s="9" t="str">
        <v>Billie Fowler</v>
      </c>
    </row>
    <row r="289" spans="1:1">
      <c r="A289" s="9" t="str">
        <v>Gail Rankin Cole</v>
      </c>
    </row>
    <row r="290" spans="1:1">
      <c r="A290" s="9" t="str">
        <v>Jennifer Siegel</v>
      </c>
    </row>
    <row r="291" spans="1:1">
      <c r="A291" s="9" t="str">
        <v>Harriet Hodges</v>
      </c>
    </row>
    <row r="292" spans="1:1">
      <c r="A292" s="9" t="str">
        <v>Jordan Berry</v>
      </c>
    </row>
    <row r="293" spans="1:1">
      <c r="A293" s="9" t="str">
        <v>Francis Spivey</v>
      </c>
    </row>
    <row r="294" spans="1:1">
      <c r="A294" s="9" t="str">
        <v>Rachel Casey</v>
      </c>
    </row>
    <row r="295" spans="1:1">
      <c r="A295" s="9" t="str">
        <v>Carla Hauser</v>
      </c>
    </row>
    <row r="296" spans="1:1">
      <c r="A296" s="9" t="str">
        <v>Marsha P Joyner</v>
      </c>
    </row>
    <row r="297" spans="1:1">
      <c r="A297" s="9" t="str">
        <v>Carol Sherrill</v>
      </c>
    </row>
    <row r="298" spans="1:1">
      <c r="A298" s="9" t="str">
        <v>Marion Wilcox</v>
      </c>
    </row>
    <row r="299" spans="1:1">
      <c r="A299" s="9" t="str">
        <v>Kerry Jernigan</v>
      </c>
    </row>
    <row r="300" spans="1:1">
      <c r="A300" s="9" t="str">
        <v>Tracy Livingston</v>
      </c>
    </row>
    <row r="301" spans="1:1">
      <c r="A301" s="9" t="str">
        <v>Jessie Kelly</v>
      </c>
    </row>
    <row r="302" spans="1:1">
      <c r="A302" s="9" t="str">
        <v>Dolores Abrams</v>
      </c>
    </row>
    <row r="303" spans="1:1">
      <c r="A303" s="9" t="str">
        <v>Ruth Dudley</v>
      </c>
    </row>
    <row r="304" spans="1:1">
      <c r="A304" s="9" t="str">
        <v>Calvin Conway</v>
      </c>
    </row>
    <row r="305" spans="1:1">
      <c r="A305" s="9" t="str">
        <v>Robyn Garner</v>
      </c>
    </row>
    <row r="306" spans="1:1">
      <c r="A306" s="9" t="str">
        <v>Kelly Shaw</v>
      </c>
    </row>
    <row r="307" spans="1:1">
      <c r="A307" s="9" t="str">
        <v>Albert Maxwell</v>
      </c>
    </row>
    <row r="308" spans="1:1">
      <c r="A308" s="9" t="str">
        <v>Stephanie Sun Perry</v>
      </c>
    </row>
    <row r="309" spans="1:1">
      <c r="A309" s="9" t="str">
        <v>Denise Parks</v>
      </c>
    </row>
    <row r="310" spans="1:1">
      <c r="A310" s="9" t="str">
        <v>Dorothy Buchanan</v>
      </c>
    </row>
    <row r="311" spans="1:1">
      <c r="A311" s="9" t="str">
        <v>Ernest Oh</v>
      </c>
    </row>
    <row r="312" spans="1:1">
      <c r="A312" s="9" t="str">
        <v>Jane Shah</v>
      </c>
    </row>
    <row r="313" spans="1:1">
      <c r="A313" s="9" t="str">
        <v>Tony Chandler</v>
      </c>
    </row>
    <row r="314" spans="1:1">
      <c r="A314" s="9" t="str">
        <v>Sally House</v>
      </c>
    </row>
    <row r="315" spans="1:1">
      <c r="A315" s="9" t="str">
        <v>Phillip Chappell</v>
      </c>
    </row>
    <row r="316" spans="1:1">
      <c r="A316" s="9" t="str">
        <v>Benjamin Chan</v>
      </c>
    </row>
    <row r="317" spans="1:1">
      <c r="A317" s="9" t="str">
        <v>Yvonne Clarke</v>
      </c>
    </row>
    <row r="318" spans="1:1">
      <c r="A318" s="9" t="str">
        <v>Lynn Payne</v>
      </c>
    </row>
    <row r="319" spans="1:1">
      <c r="A319" s="9" t="str">
        <v>Gregory Holden</v>
      </c>
    </row>
    <row r="320" spans="1:1">
      <c r="A320" s="9" t="str">
        <v>Francis Evans</v>
      </c>
    </row>
    <row r="321" spans="1:1">
      <c r="A321" s="9" t="str">
        <v>Howard Burnett</v>
      </c>
    </row>
    <row r="322" spans="1:1">
      <c r="A322" s="9" t="str">
        <v>Sue Drake</v>
      </c>
    </row>
    <row r="323" spans="1:1">
      <c r="A323" s="9" t="str">
        <v>Gail Currin</v>
      </c>
    </row>
    <row r="324" spans="1:1">
      <c r="A324" s="9" t="str">
        <v>Neal Weber</v>
      </c>
    </row>
    <row r="325" spans="1:1">
      <c r="A325" s="9" t="str">
        <v>Lloyd Spencer</v>
      </c>
    </row>
    <row r="326" spans="1:1">
      <c r="A326" s="9" t="str">
        <v>Phillip Pollard</v>
      </c>
    </row>
    <row r="327" spans="1:1">
      <c r="A327" s="9" t="str">
        <v>Rita Barton</v>
      </c>
    </row>
    <row r="328" spans="1:1">
      <c r="A328" s="9" t="str">
        <v>Lynn Bell</v>
      </c>
    </row>
    <row r="329" spans="1:1">
      <c r="A329" s="9" t="str">
        <v>Lloyd Dickson</v>
      </c>
    </row>
    <row r="330" spans="1:1">
      <c r="A330" s="9" t="str">
        <v>Priscilla Frank</v>
      </c>
    </row>
    <row r="331" spans="1:1">
      <c r="A331" s="9" t="str">
        <v>Kristin George</v>
      </c>
    </row>
    <row r="332" spans="1:1">
      <c r="A332" s="9" t="str">
        <v>Theresa Winters</v>
      </c>
    </row>
    <row r="333" spans="1:1">
      <c r="A333" s="9" t="str">
        <v>Beverly Cameron</v>
      </c>
    </row>
    <row r="334" spans="1:1">
      <c r="A334" s="9" t="str">
        <v>Francis Sherrill</v>
      </c>
    </row>
    <row r="335" spans="1:1">
      <c r="A335" s="9" t="str">
        <v>Meredith Humphrey</v>
      </c>
    </row>
    <row r="336" spans="1:1">
      <c r="A336" s="9" t="str">
        <v>Julie Porter</v>
      </c>
    </row>
    <row r="337" spans="1:1">
      <c r="A337" s="9" t="str">
        <v>Glen Newman</v>
      </c>
    </row>
    <row r="338" spans="1:1">
      <c r="A338" s="9" t="str">
        <v>Eugene Kerr</v>
      </c>
    </row>
    <row r="339" spans="1:1">
      <c r="A339" s="9" t="str">
        <v>Brian Bennett</v>
      </c>
    </row>
    <row r="340" spans="1:1">
      <c r="A340" s="9" t="str">
        <v>Marguerite Rodgers</v>
      </c>
    </row>
    <row r="341" spans="1:1">
      <c r="A341" s="9" t="str">
        <v>Kent Burton</v>
      </c>
    </row>
    <row r="342" spans="1:1">
      <c r="A342" s="9" t="str">
        <v>Jessica Huffman</v>
      </c>
    </row>
    <row r="343" spans="1:1">
      <c r="A343" s="9" t="str">
        <v>Jon Hale</v>
      </c>
    </row>
    <row r="344" spans="1:1">
      <c r="A344" s="9" t="str">
        <v>Mildred Chase</v>
      </c>
    </row>
    <row r="345" spans="1:1">
      <c r="A345" s="9" t="str">
        <v>Jerome Burch</v>
      </c>
    </row>
    <row r="346" spans="1:1">
      <c r="A346" s="9" t="str">
        <v>Erin Ballard</v>
      </c>
    </row>
    <row r="347" spans="1:1">
      <c r="A347" s="9" t="str">
        <v>Gayle Pearson</v>
      </c>
    </row>
    <row r="348" spans="1:1">
      <c r="A348" s="9" t="str">
        <v>Keith R Atkinson</v>
      </c>
    </row>
    <row r="349" spans="1:1">
      <c r="A349" s="9" t="str">
        <v>Gene Gilliam</v>
      </c>
    </row>
    <row r="350" spans="1:1">
      <c r="A350" s="9" t="str">
        <v>Willie Robinson</v>
      </c>
    </row>
    <row r="351" spans="1:1">
      <c r="A351" s="9" t="str">
        <v>Vicki Bond</v>
      </c>
    </row>
    <row r="352" spans="1:1">
      <c r="A352" s="9" t="str">
        <v>Erik Barr</v>
      </c>
    </row>
    <row r="353" spans="1:1">
      <c r="A353" s="9" t="str">
        <v>Pam Bennett</v>
      </c>
    </row>
    <row r="354" spans="1:1">
      <c r="A354" s="9" t="str">
        <v>Marion Owens</v>
      </c>
    </row>
    <row r="355" spans="1:1">
      <c r="A355" s="9" t="str">
        <v>Theodore Tyson</v>
      </c>
    </row>
    <row r="356" spans="1:1">
      <c r="A356" s="9" t="str">
        <v>Colleen Fletcher</v>
      </c>
    </row>
    <row r="357" spans="1:1">
      <c r="A357" s="9" t="str">
        <v>Hazel Dale</v>
      </c>
    </row>
    <row r="358" spans="1:1">
      <c r="A358" s="9" t="str">
        <v>Ted Dunlap</v>
      </c>
    </row>
    <row r="359" spans="1:1">
      <c r="A359" s="9" t="str">
        <v>Leon Peele</v>
      </c>
    </row>
    <row r="360" spans="1:1">
      <c r="A360" s="9" t="str">
        <v>Kimberly McCarthy</v>
      </c>
    </row>
    <row r="361" spans="1:1">
      <c r="A361" s="9" t="str">
        <v>Sidney Bowling</v>
      </c>
    </row>
    <row r="362" spans="1:1">
      <c r="A362" s="9" t="str">
        <v>Timothy Ross</v>
      </c>
    </row>
    <row r="363" spans="1:1">
      <c r="A363" s="9" t="str">
        <v>Maxine Collier Grady</v>
      </c>
    </row>
    <row r="364" spans="1:1">
      <c r="A364" s="9" t="str">
        <v>Joanna Keith</v>
      </c>
    </row>
    <row r="365" spans="1:1">
      <c r="A365" s="9" t="str">
        <v>Dwight Bishop</v>
      </c>
    </row>
    <row r="366" spans="1:1">
      <c r="A366" s="9" t="str">
        <v>Dennis Welch</v>
      </c>
    </row>
    <row r="367" spans="1:1">
      <c r="A367" s="9" t="str">
        <v>Luis Kerr</v>
      </c>
    </row>
    <row r="368" spans="1:1">
      <c r="A368" s="9" t="str">
        <v>Julia Reynolds</v>
      </c>
    </row>
    <row r="369" spans="1:1">
      <c r="A369" s="9" t="str">
        <v>Samantha Koch</v>
      </c>
    </row>
    <row r="370" spans="1:1">
      <c r="A370" s="9" t="str">
        <v>Tonya Proctor</v>
      </c>
    </row>
    <row r="371" spans="1:1">
      <c r="A371" s="9" t="str">
        <v>Peggy Lanier</v>
      </c>
    </row>
    <row r="372" spans="1:1">
      <c r="A372" s="9" t="str">
        <v>Randy Jiang</v>
      </c>
    </row>
    <row r="373" spans="1:1">
      <c r="A373" s="9" t="str">
        <v>Ray Grady</v>
      </c>
    </row>
    <row r="374" spans="1:1">
      <c r="A374" s="9" t="str">
        <v>Kurt O'Connor</v>
      </c>
    </row>
    <row r="375" spans="1:1">
      <c r="A375" s="9" t="str">
        <v>Pam Patton</v>
      </c>
    </row>
    <row r="376" spans="1:1">
      <c r="A376" s="9" t="str">
        <v>Benjamin Strauss</v>
      </c>
    </row>
    <row r="377" spans="1:1">
      <c r="A377" s="9" t="str">
        <v>Michael Robbins</v>
      </c>
    </row>
    <row r="378" spans="1:1">
      <c r="A378" s="9" t="str">
        <v>Marjorie Owens</v>
      </c>
    </row>
    <row r="379" spans="1:1">
      <c r="A379" s="9" t="str">
        <v>Carmen McPherson</v>
      </c>
    </row>
    <row r="380" spans="1:1">
      <c r="A380" s="9" t="str">
        <v>Malcolm Floyd</v>
      </c>
    </row>
    <row r="381" spans="1:1">
      <c r="A381" s="9" t="str">
        <v>Russell Chan</v>
      </c>
    </row>
    <row r="382" spans="1:1">
      <c r="A382" s="9" t="str">
        <v>Edna Huang</v>
      </c>
    </row>
    <row r="383" spans="1:1">
      <c r="A383" s="9" t="str">
        <v>Alex Nicholson</v>
      </c>
    </row>
    <row r="384" spans="1:1">
      <c r="A384" s="9" t="str">
        <v>Edith Forbes</v>
      </c>
    </row>
    <row r="385" spans="1:1">
      <c r="A385" s="9" t="str">
        <v>Arlene Weeks</v>
      </c>
    </row>
    <row r="386" spans="1:1">
      <c r="A386" s="9" t="str">
        <v>Jessie Houston</v>
      </c>
    </row>
    <row r="387" spans="1:1">
      <c r="A387" s="9" t="str">
        <v>Sandy Hunt</v>
      </c>
    </row>
    <row r="388" spans="1:1">
      <c r="A388" s="9" t="str">
        <v>Jesse Williamson</v>
      </c>
    </row>
    <row r="389" spans="1:1">
      <c r="A389" s="9" t="str">
        <v>Becky O'Brien</v>
      </c>
    </row>
    <row r="390" spans="1:1">
      <c r="A390" s="9" t="str">
        <v>Lee Xu</v>
      </c>
    </row>
    <row r="391" spans="1:1">
      <c r="A391" s="9" t="str">
        <v>Glenda Herbert</v>
      </c>
    </row>
    <row r="392" spans="1:1">
      <c r="A392" s="9" t="str">
        <v>Dwight Stephenson</v>
      </c>
    </row>
    <row r="393" spans="1:1">
      <c r="A393" s="9" t="str">
        <v>John Morse</v>
      </c>
    </row>
    <row r="394" spans="1:1">
      <c r="A394" s="9" t="str">
        <v>Louis Parrish</v>
      </c>
    </row>
    <row r="395" spans="1:1">
      <c r="A395" s="9" t="str">
        <v>Sidney Brewer</v>
      </c>
    </row>
    <row r="396" spans="1:1">
      <c r="A396" s="9" t="str">
        <v>Grace McNeill Hunt</v>
      </c>
    </row>
    <row r="397" spans="1:1">
      <c r="A397" s="9" t="str">
        <v>Edward Lamm</v>
      </c>
    </row>
    <row r="398" spans="1:1">
      <c r="A398" s="9" t="str">
        <v>Beth English</v>
      </c>
    </row>
    <row r="399" spans="1:1">
      <c r="A399" s="9" t="str">
        <v>Faye Wolf</v>
      </c>
    </row>
    <row r="400" spans="1:1">
      <c r="A400" s="9" t="str">
        <v>Judy Merritt</v>
      </c>
    </row>
    <row r="401" spans="1:1">
      <c r="A401" s="9" t="str">
        <v>Debra Proctor</v>
      </c>
    </row>
    <row r="402" spans="1:1">
      <c r="A402" s="9" t="str">
        <v>Eileen Fletcher</v>
      </c>
    </row>
    <row r="403" spans="1:1">
      <c r="A403" s="9" t="str">
        <v>Jeremy Pratt</v>
      </c>
    </row>
    <row r="404" spans="1:1">
      <c r="A404" s="9" t="str">
        <v>Billy Perry Browning</v>
      </c>
    </row>
    <row r="405" spans="1:1">
      <c r="A405" s="9" t="str">
        <v>Ken Cash</v>
      </c>
    </row>
    <row r="406" spans="1:1">
      <c r="A406" s="9" t="str">
        <v>Elsie Hwang</v>
      </c>
    </row>
    <row r="407" spans="1:1">
      <c r="A407" s="9" t="str">
        <v>Hazel Jennings</v>
      </c>
    </row>
    <row r="408" spans="1:1">
      <c r="A408" s="9" t="str">
        <v>Patrick Byrne</v>
      </c>
    </row>
    <row r="409" spans="1:1">
      <c r="A409" s="9" t="str">
        <v>Gary Hester</v>
      </c>
    </row>
    <row r="410" spans="1:1">
      <c r="A410" s="9" t="str">
        <v>Eva Simpson</v>
      </c>
    </row>
    <row r="411" spans="1:1">
      <c r="A411" s="9" t="str">
        <v>April Bowers</v>
      </c>
    </row>
    <row r="412" spans="1:1">
      <c r="A412" s="9" t="str">
        <v>Bradley Schroeder</v>
      </c>
    </row>
    <row r="413" spans="1:1">
      <c r="A413" s="9" t="str">
        <v>Lois Hansen</v>
      </c>
    </row>
    <row r="414" spans="1:1">
      <c r="A414" s="9" t="str">
        <v>Henry O'Connell</v>
      </c>
    </row>
    <row r="415" spans="1:1">
      <c r="A415" s="9" t="str">
        <v>Kara Patton</v>
      </c>
    </row>
    <row r="416" spans="1:1">
      <c r="A416" s="9" t="str">
        <v>Vickie Coates</v>
      </c>
    </row>
    <row r="417" spans="1:1">
      <c r="A417" s="9" t="str">
        <v>Anne Bland</v>
      </c>
    </row>
    <row r="418" spans="1:1">
      <c r="A418" s="9" t="str">
        <v>Ryan Foster</v>
      </c>
    </row>
    <row r="419" spans="1:1">
      <c r="A419" s="9" t="str">
        <v>Keith Hobbs</v>
      </c>
    </row>
    <row r="420" spans="1:1">
      <c r="A420" s="9" t="str">
        <v>Vickie Gonzalez</v>
      </c>
    </row>
    <row r="421" spans="1:1">
      <c r="A421" s="9" t="str">
        <v>Danielle Kramer</v>
      </c>
    </row>
    <row r="422" spans="1:1">
      <c r="A422" s="9" t="str">
        <v>Rosemary Branch</v>
      </c>
    </row>
    <row r="423" spans="1:1">
      <c r="A423" s="9" t="str">
        <v>Joanne Church</v>
      </c>
    </row>
    <row r="424" spans="1:1">
      <c r="A424" s="9" t="str">
        <v>Josephine Rao</v>
      </c>
    </row>
    <row r="425" spans="1:1">
      <c r="A425" s="9" t="str">
        <v>Harold Albright</v>
      </c>
    </row>
    <row r="426" spans="1:1">
      <c r="A426" s="9" t="str">
        <v>Pauline Denton</v>
      </c>
    </row>
    <row r="427" spans="1:1">
      <c r="A427" s="9" t="str">
        <v>Dana Sharpe</v>
      </c>
    </row>
    <row r="428" spans="1:1">
      <c r="A428" s="9" t="str">
        <v>Herbert Beard</v>
      </c>
    </row>
    <row r="429" spans="1:1">
      <c r="A429" s="9" t="str">
        <v>Cindy Harvey</v>
      </c>
    </row>
    <row r="430" spans="1:1">
      <c r="A430" s="9" t="str">
        <v>Sherri McIntosh</v>
      </c>
    </row>
    <row r="431" spans="1:1">
      <c r="A431" s="9" t="str">
        <v>Chris Pritchard</v>
      </c>
    </row>
    <row r="432" spans="1:1">
      <c r="A432" s="9" t="str">
        <v>Teresa Hill</v>
      </c>
    </row>
    <row r="433" spans="1:1">
      <c r="A433" s="9" t="str">
        <v>Keith Marsh</v>
      </c>
    </row>
    <row r="434" spans="1:1">
      <c r="A434" s="9" t="str">
        <v>Adam Saunders Gray</v>
      </c>
    </row>
    <row r="435" spans="1:1">
      <c r="A435" s="9" t="str">
        <v>Marion Lindsey</v>
      </c>
    </row>
    <row r="436" spans="1:1">
      <c r="A436" s="9" t="str">
        <v>Denise McIntosh</v>
      </c>
    </row>
    <row r="437" spans="1:1">
      <c r="A437" s="9" t="str">
        <v>Marie Bass</v>
      </c>
    </row>
    <row r="438" spans="1:1">
      <c r="A438" s="9" t="str">
        <v>Edward Bynum</v>
      </c>
    </row>
    <row r="439" spans="1:1">
      <c r="A439" s="9" t="str">
        <v>Vivian Goldstein</v>
      </c>
    </row>
    <row r="440" spans="1:1">
      <c r="A440" s="9" t="str">
        <v>Jackie Burke</v>
      </c>
    </row>
    <row r="441" spans="1:1">
      <c r="A441" s="9" t="str">
        <v>Janet McCullough</v>
      </c>
    </row>
    <row r="442" spans="1:1">
      <c r="A442" s="9" t="str">
        <v>Vivian Clarke</v>
      </c>
    </row>
    <row r="443" spans="1:1">
      <c r="A443" s="9" t="str">
        <v>Aaron Dillon</v>
      </c>
    </row>
    <row r="444" spans="1:1">
      <c r="A444" s="9" t="str">
        <v>Marguerite Yu</v>
      </c>
    </row>
    <row r="445" spans="1:1">
      <c r="A445" s="9" t="str">
        <v>Arlene Gibbons</v>
      </c>
    </row>
    <row r="446" spans="1:1">
      <c r="A446" s="9" t="str">
        <v>Kristina Collier</v>
      </c>
    </row>
    <row r="447" spans="1:1">
      <c r="A447" s="9" t="str">
        <v>Earl Roy</v>
      </c>
    </row>
    <row r="448" spans="1:1">
      <c r="A448" s="9" t="str">
        <v>Chris Ford</v>
      </c>
    </row>
    <row r="449" spans="1:1">
      <c r="A449" s="9" t="str">
        <v>James Hunter</v>
      </c>
    </row>
    <row r="450" spans="1:1">
      <c r="A450" s="9" t="str">
        <v>Patsy Harmon</v>
      </c>
    </row>
    <row r="451" spans="1:1">
      <c r="A451" s="9" t="str">
        <v>Joe D Dean</v>
      </c>
    </row>
    <row r="452" spans="1:1">
      <c r="A452" s="9" t="str">
        <v>Earl Buck</v>
      </c>
    </row>
    <row r="453" spans="1:1">
      <c r="A453" s="9" t="str">
        <v>Jeanne Walker</v>
      </c>
    </row>
    <row r="454" spans="1:1">
      <c r="A454" s="9" t="str">
        <v>Christina Hanna</v>
      </c>
    </row>
    <row r="455" spans="1:1">
      <c r="A455" s="9" t="str">
        <v>George McLamb</v>
      </c>
    </row>
    <row r="456" spans="1:1">
      <c r="A456" s="9" t="str">
        <v>Jean Khan</v>
      </c>
    </row>
    <row r="457" spans="1:1">
      <c r="A457" s="9" t="str">
        <v>Hazel Jones</v>
      </c>
    </row>
    <row r="458" spans="1:1">
      <c r="A458" s="9" t="str">
        <v>Carolyn Greer</v>
      </c>
    </row>
    <row r="459" spans="1:1">
      <c r="A459" s="9" t="str">
        <v>Wesley Tate</v>
      </c>
    </row>
    <row r="460" spans="1:1">
      <c r="A460" s="9" t="str">
        <v>Crystal Floyd</v>
      </c>
    </row>
    <row r="461" spans="1:1">
      <c r="A461" s="9" t="str">
        <v>Charles Ward</v>
      </c>
    </row>
    <row r="462" spans="1:1">
      <c r="A462" s="9" t="str">
        <v>Marc Ray</v>
      </c>
    </row>
    <row r="463" spans="1:1">
      <c r="A463" s="9" t="str">
        <v>Pamela Wiley</v>
      </c>
    </row>
    <row r="464" spans="1:1">
      <c r="A464" s="9" t="str">
        <v>Betsy Gibson</v>
      </c>
    </row>
    <row r="465" spans="1:1">
      <c r="A465" s="9" t="str">
        <v>Rebecca Lindsey</v>
      </c>
    </row>
    <row r="466" spans="1:1">
      <c r="A466" s="9" t="str">
        <v>Brooke Lancaster</v>
      </c>
    </row>
    <row r="467" spans="1:1">
      <c r="A467" s="9" t="str">
        <v>Robyn Zhou</v>
      </c>
    </row>
    <row r="468" spans="1:1">
      <c r="A468" s="9" t="str">
        <v>Gregory Crane</v>
      </c>
    </row>
    <row r="469" spans="1:1">
      <c r="A469" s="9" t="str">
        <v>Stacy Gould</v>
      </c>
    </row>
    <row r="470" spans="1:1">
      <c r="A470" s="9" t="str">
        <v>Kerry Green</v>
      </c>
    </row>
    <row r="471" spans="1:1">
      <c r="A471" s="9" t="str">
        <v>Frances Jackson</v>
      </c>
    </row>
    <row r="472" spans="1:1">
      <c r="A472" s="9" t="str">
        <v>Jean Weiss Diaz</v>
      </c>
    </row>
    <row r="473" spans="1:1">
      <c r="A473" s="9" t="str">
        <v>Kyle Kaufman</v>
      </c>
    </row>
    <row r="474" spans="1:1">
      <c r="A474" s="9" t="str">
        <v>Rodney Field</v>
      </c>
    </row>
    <row r="475" spans="1:1">
      <c r="A475" s="9" t="str">
        <v>Veronica Peck</v>
      </c>
    </row>
    <row r="476" spans="1:1">
      <c r="A476" s="9" t="str">
        <v>Steve Raynor</v>
      </c>
    </row>
    <row r="477" spans="1:1">
      <c r="A477" s="9" t="str">
        <v>Norman Adams</v>
      </c>
    </row>
    <row r="478" spans="1:1">
      <c r="A478" s="9" t="str">
        <v>Wesley Reid</v>
      </c>
    </row>
    <row r="479" spans="1:1">
      <c r="A479" s="9" t="str">
        <v>Vicki Zhu Daniels</v>
      </c>
    </row>
    <row r="480" spans="1:1">
      <c r="A480" s="9" t="str">
        <v>Danielle Daniel</v>
      </c>
    </row>
    <row r="481" spans="1:1">
      <c r="A481" s="9" t="str">
        <v>Tommy Ellis Ritchie</v>
      </c>
    </row>
    <row r="482" spans="1:1">
      <c r="A482" s="9" t="str">
        <v>Paul Puckett</v>
      </c>
    </row>
    <row r="483" spans="1:1">
      <c r="A483" s="9" t="str">
        <v>Marvin MacDonald</v>
      </c>
    </row>
    <row r="484" spans="1:1">
      <c r="A484" s="9" t="str">
        <v>Michael Tanner</v>
      </c>
    </row>
    <row r="485" spans="1:1">
      <c r="A485" s="9" t="str">
        <v>Alison Stewart</v>
      </c>
    </row>
    <row r="486" spans="1:1">
      <c r="A486" s="9" t="str">
        <v>Wayne Sutherland</v>
      </c>
    </row>
    <row r="487" spans="1:1">
      <c r="A487" s="9" t="str">
        <v>Don Beard</v>
      </c>
    </row>
    <row r="488" spans="1:1">
      <c r="A488" s="9" t="str">
        <v>Kate Lehman</v>
      </c>
    </row>
    <row r="489" spans="1:1">
      <c r="A489" s="9" t="str">
        <v>Gloria Jacobs</v>
      </c>
    </row>
    <row r="490" spans="1:1">
      <c r="A490" s="9" t="str">
        <v>Charlotte L Doyle</v>
      </c>
    </row>
    <row r="491" spans="1:1">
      <c r="A491" s="9" t="str">
        <v>Renee Huang</v>
      </c>
    </row>
    <row r="492" spans="1:1">
      <c r="A492" s="9" t="str">
        <v>Kay Schultz</v>
      </c>
    </row>
    <row r="493" spans="1:1">
      <c r="A493" s="9" t="str">
        <v>Joseph Dawson</v>
      </c>
    </row>
    <row r="494" spans="1:1">
      <c r="A494" s="9" t="str">
        <v>Randall Boykin</v>
      </c>
    </row>
    <row r="495" spans="1:1">
      <c r="A495" s="9" t="str">
        <v>Earl Watts</v>
      </c>
    </row>
    <row r="496" spans="1:1">
      <c r="A496" s="9" t="str">
        <v>Larry Hall</v>
      </c>
    </row>
    <row r="497" spans="1:1">
      <c r="A497" s="9" t="str">
        <v>Neil Parker</v>
      </c>
    </row>
    <row r="498" spans="1:1">
      <c r="A498" s="9" t="str">
        <v>Brad Stark</v>
      </c>
    </row>
    <row r="499" spans="1:1">
      <c r="A499" s="9" t="str">
        <v>Jon Ayers</v>
      </c>
    </row>
    <row r="500" spans="1:1">
      <c r="A500" s="9" t="str">
        <v>Nicole Reid</v>
      </c>
    </row>
    <row r="501" spans="1:1">
      <c r="A501" s="9" t="str">
        <v>John Bray</v>
      </c>
    </row>
    <row r="502" spans="1:1">
      <c r="A502" s="9" t="str">
        <v>Laurence Flowers</v>
      </c>
    </row>
    <row r="503" spans="1:1">
      <c r="A503" s="9" t="str">
        <v>Gary Koch</v>
      </c>
    </row>
    <row r="504" spans="1:1">
      <c r="A504" s="9" t="str">
        <v>Tara Powers Underwood</v>
      </c>
    </row>
    <row r="505" spans="1:1">
      <c r="A505" s="9" t="str">
        <v>Joan Floyd</v>
      </c>
    </row>
    <row r="506" spans="1:1">
      <c r="A506" s="9" t="str">
        <v>Carol Wood</v>
      </c>
    </row>
    <row r="507" spans="1:1">
      <c r="A507" s="9" t="str">
        <v>James Nicholson</v>
      </c>
    </row>
    <row r="508" spans="1:1">
      <c r="A508" s="9" t="str">
        <v>Zachary Maynard</v>
      </c>
    </row>
    <row r="509" spans="1:1">
      <c r="A509" s="9" t="str">
        <v>Edwin Coley</v>
      </c>
    </row>
    <row r="510" spans="1:1">
      <c r="A510" s="9" t="str">
        <v>Sherry Hurley</v>
      </c>
    </row>
    <row r="511" spans="1:1">
      <c r="A511" s="9" t="str">
        <v>Ronnie Nolan</v>
      </c>
    </row>
    <row r="512" spans="1:1">
      <c r="A512" s="9" t="str">
        <v>Lucille Buchanan</v>
      </c>
    </row>
    <row r="513" spans="1:1">
      <c r="A513" s="9" t="str">
        <v>Ronald O'Neill</v>
      </c>
    </row>
    <row r="514" spans="1:1">
      <c r="A514" s="9" t="str">
        <v>Chad Henson</v>
      </c>
    </row>
    <row r="515" spans="1:1">
      <c r="A515" s="9" t="str">
        <v>Frank Hess</v>
      </c>
    </row>
    <row r="516" spans="1:1">
      <c r="A516" s="9" t="str">
        <v>Alex Watkins</v>
      </c>
    </row>
    <row r="517" spans="1:1">
      <c r="A517" s="9" t="str">
        <v>Don Rogers</v>
      </c>
    </row>
    <row r="518" spans="1:1">
      <c r="A518" s="9" t="str">
        <v>Kathleen Huang Hall</v>
      </c>
    </row>
    <row r="519" spans="1:1">
      <c r="A519" s="9" t="str">
        <v>Jerry Ennis</v>
      </c>
    </row>
    <row r="520" spans="1:1">
      <c r="A520" s="9" t="str">
        <v>Wayne Lutz</v>
      </c>
    </row>
    <row r="521" spans="1:1">
      <c r="A521" s="9" t="str">
        <v>June Roberts</v>
      </c>
    </row>
    <row r="522" spans="1:1">
      <c r="A522" s="9" t="str">
        <v>Gerald Petty</v>
      </c>
    </row>
    <row r="523" spans="1:1">
      <c r="A523" s="9" t="str">
        <v>Patrick Adcock</v>
      </c>
    </row>
    <row r="524" spans="1:1">
      <c r="A524" s="9" t="str">
        <v>Molly Browning</v>
      </c>
    </row>
    <row r="525" spans="1:1">
      <c r="A525" s="9" t="str">
        <v>Aaron Day</v>
      </c>
    </row>
    <row r="526" spans="1:1">
      <c r="A526" s="9" t="str">
        <v>Lori Wolfe</v>
      </c>
    </row>
    <row r="527" spans="1:1">
      <c r="A527" s="9" t="str">
        <v>Gerald Raynor</v>
      </c>
    </row>
    <row r="528" spans="1:1">
      <c r="A528" s="9" t="str">
        <v>Katherine W Epstein</v>
      </c>
    </row>
    <row r="529" spans="1:1">
      <c r="A529" s="9" t="str">
        <v>Sidney Greenberg</v>
      </c>
    </row>
    <row r="530" spans="1:1">
      <c r="A530" s="9" t="str">
        <v>Marvin Rollins</v>
      </c>
    </row>
    <row r="531" spans="1:1">
      <c r="A531" s="9" t="str">
        <v>Sam Woodward</v>
      </c>
    </row>
    <row r="532" spans="1:1">
      <c r="A532" s="9" t="str">
        <v>Eugene Brewer Knox</v>
      </c>
    </row>
    <row r="533" spans="1:1">
      <c r="A533" s="9" t="str">
        <v>Nina Bowles</v>
      </c>
    </row>
    <row r="534" spans="1:1">
      <c r="A534" s="9" t="str">
        <v>Roy Hardison</v>
      </c>
    </row>
    <row r="535" spans="1:1">
      <c r="A535" s="9" t="str">
        <v>Dan Lamm</v>
      </c>
    </row>
    <row r="536" spans="1:1">
      <c r="A536" s="9" t="str">
        <v>Charles Cline</v>
      </c>
    </row>
    <row r="537" spans="1:1">
      <c r="A537" s="9" t="str">
        <v>Elsie Pridgen</v>
      </c>
    </row>
    <row r="538" spans="1:1">
      <c r="A538" s="9" t="str">
        <v>Carolyn Bowling</v>
      </c>
    </row>
    <row r="539" spans="1:1">
      <c r="A539" s="9" t="str">
        <v>Mitchell Ross</v>
      </c>
    </row>
    <row r="540" spans="1:1">
      <c r="A540" s="9" t="str">
        <v>Sidney Scarborough</v>
      </c>
    </row>
    <row r="541" spans="1:1">
      <c r="A541" s="9" t="str">
        <v>Jeanne Nguyen</v>
      </c>
    </row>
    <row r="542" spans="1:1">
      <c r="A542" s="9" t="str">
        <v>Esther Whitaker</v>
      </c>
    </row>
    <row r="543" spans="1:1">
      <c r="A543" s="9" t="str">
        <v>Julie Edwards</v>
      </c>
    </row>
    <row r="544" spans="1:1">
      <c r="A544" s="9" t="str">
        <v>Wesley Corbett</v>
      </c>
    </row>
    <row r="545" spans="1:1">
      <c r="A545" s="9" t="str">
        <v>Lynn O'Donnell</v>
      </c>
    </row>
    <row r="546" spans="1:1">
      <c r="A546" s="9" t="str">
        <v>Larry Church</v>
      </c>
    </row>
    <row r="547" spans="1:1">
      <c r="A547" s="9" t="str">
        <v>Neil Bailey</v>
      </c>
    </row>
    <row r="548" spans="1:1">
      <c r="A548" s="9" t="str">
        <v>Rhonda Schroeder</v>
      </c>
    </row>
    <row r="549" spans="1:1">
      <c r="A549" s="9" t="str">
        <v>Melinda Thornton</v>
      </c>
    </row>
    <row r="550" spans="1:1">
      <c r="A550" s="9" t="str">
        <v>Holly Osborne</v>
      </c>
    </row>
    <row r="551" spans="1:1">
      <c r="A551" s="9" t="str">
        <v>Joseph Hurst</v>
      </c>
    </row>
    <row r="552" spans="1:1">
      <c r="A552" s="9" t="str">
        <v>Sandra Berry</v>
      </c>
    </row>
    <row r="553" spans="1:1">
      <c r="A553" s="9" t="str">
        <v>Lillian Day</v>
      </c>
    </row>
    <row r="554" spans="1:1">
      <c r="A554" s="9" t="str">
        <v>Dennis Bowen</v>
      </c>
    </row>
    <row r="555" spans="1:1">
      <c r="A555" s="9" t="str">
        <v>Sharon Long</v>
      </c>
    </row>
    <row r="556" spans="1:1">
      <c r="A556" s="9" t="str">
        <v>Regina Langley</v>
      </c>
    </row>
    <row r="557" spans="1:1">
      <c r="A557" s="9" t="str">
        <v>Rosemary Stark</v>
      </c>
    </row>
    <row r="558" spans="1:1">
      <c r="A558" s="9" t="str">
        <v>Kathy Shah</v>
      </c>
    </row>
    <row r="559" spans="1:1">
      <c r="A559" s="9" t="str">
        <v>Russell W Melton</v>
      </c>
    </row>
    <row r="560" spans="1:1">
      <c r="A560" s="9" t="str">
        <v>Jennifer Zimmerman</v>
      </c>
    </row>
    <row r="561" spans="1:1">
      <c r="A561" s="9" t="str">
        <v>Constance Flowers</v>
      </c>
    </row>
    <row r="562" spans="1:1">
      <c r="A562" s="9" t="str">
        <v>Linda Blake</v>
      </c>
    </row>
    <row r="563" spans="1:1">
      <c r="A563" s="9" t="str">
        <v>Juanita Ballard</v>
      </c>
    </row>
    <row r="564" spans="1:1">
      <c r="A564" s="9" t="str">
        <v>Carrie Lewis</v>
      </c>
    </row>
    <row r="565" spans="1:1">
      <c r="A565" s="9" t="str">
        <v>Kerry Wilkerson</v>
      </c>
    </row>
    <row r="566" spans="1:1">
      <c r="A566" s="9" t="str">
        <v>Nina Horne Kelly</v>
      </c>
    </row>
    <row r="567" spans="1:1">
      <c r="A567" s="9" t="str">
        <v>Christopher Meadows</v>
      </c>
    </row>
    <row r="568" spans="1:1">
      <c r="A568" s="9" t="str">
        <v>Eric West</v>
      </c>
    </row>
    <row r="569" spans="1:1">
      <c r="A569" s="9" t="str">
        <v>Danielle Myers</v>
      </c>
    </row>
    <row r="570" spans="1:1">
      <c r="A570" s="9" t="str">
        <v>Dean Solomon</v>
      </c>
    </row>
    <row r="571" spans="1:1">
      <c r="A571" s="9" t="str">
        <v>Edna Pierce</v>
      </c>
    </row>
    <row r="572" spans="1:1">
      <c r="A572" s="9" t="str">
        <v>Paige Jacobs</v>
      </c>
    </row>
    <row r="573" spans="1:1">
      <c r="A573" s="9" t="str">
        <v>Herbert Holden</v>
      </c>
    </row>
    <row r="574" spans="1:1">
      <c r="A574" s="9" t="str">
        <v>Helen Simpson</v>
      </c>
    </row>
    <row r="575" spans="1:1">
      <c r="A575" s="9" t="str">
        <v>Sherri P Stephens</v>
      </c>
    </row>
    <row r="576" spans="1:1">
      <c r="A576" s="9" t="str">
        <v>Nelson Hong</v>
      </c>
    </row>
    <row r="577" spans="1:1">
      <c r="A577" s="9" t="str">
        <v>Michele Bradshaw</v>
      </c>
    </row>
    <row r="578" spans="1:1">
      <c r="A578" s="9" t="str">
        <v>Ralph Woods Scott</v>
      </c>
    </row>
    <row r="579" spans="1:1">
      <c r="A579" s="9" t="str">
        <v>Robert Rollins</v>
      </c>
    </row>
    <row r="580" spans="1:1">
      <c r="A580" s="9" t="str">
        <v>Jeff Spivey</v>
      </c>
    </row>
    <row r="581" spans="1:1">
      <c r="A581" s="9" t="str">
        <v>Marlene Kirk</v>
      </c>
    </row>
    <row r="582" spans="1:1">
      <c r="A582" s="9" t="str">
        <v>Charlotte Patterson</v>
      </c>
    </row>
    <row r="583" spans="1:1">
      <c r="A583" s="9" t="str">
        <v>Miriam Greenberg</v>
      </c>
    </row>
    <row r="584" spans="1:1">
      <c r="A584" s="9" t="str">
        <v>Ray Oakley</v>
      </c>
    </row>
    <row r="585" spans="1:1">
      <c r="A585" s="9" t="str">
        <v>Jackie Capps</v>
      </c>
    </row>
    <row r="586" spans="1:1">
      <c r="A586" s="9" t="str">
        <v>Lawrence Dennis</v>
      </c>
    </row>
    <row r="587" spans="1:1">
      <c r="A587" s="9" t="str">
        <v>Valerie Siegel</v>
      </c>
    </row>
    <row r="588" spans="1:1">
      <c r="A588" s="9" t="str">
        <v>Derek Jernigan</v>
      </c>
    </row>
    <row r="589" spans="1:1">
      <c r="A589" s="9" t="str">
        <v>Jack Morse</v>
      </c>
    </row>
    <row r="590" spans="1:1">
      <c r="A590" s="9" t="str">
        <v>Joyce Knox</v>
      </c>
    </row>
    <row r="591" spans="1:1">
      <c r="A591" s="9" t="str">
        <v>Albert Tyson</v>
      </c>
    </row>
    <row r="592" spans="1:1">
      <c r="A592" s="9" t="str">
        <v>Marvin Yang</v>
      </c>
    </row>
    <row r="593" spans="1:1">
      <c r="A593" s="9" t="str">
        <v>Danielle Schneider</v>
      </c>
    </row>
    <row r="594" spans="1:1">
      <c r="A594" s="9" t="str">
        <v>Ian Hall</v>
      </c>
    </row>
    <row r="595" spans="1:1">
      <c r="A595" s="9" t="str">
        <v>Vanessa Boyer</v>
      </c>
    </row>
    <row r="596" spans="1:1">
      <c r="A596" s="9" t="str">
        <v>Kate Peck</v>
      </c>
    </row>
    <row r="597" spans="1:1">
      <c r="A597" s="9" t="str">
        <v>Vincent Hale</v>
      </c>
    </row>
    <row r="598" spans="1:1">
      <c r="A598" s="9" t="str">
        <v>Stacey Lucas</v>
      </c>
    </row>
    <row r="599" spans="1:1">
      <c r="A599" s="9" t="str">
        <v>Suzanne Cochran</v>
      </c>
    </row>
    <row r="600" spans="1:1">
      <c r="A600" s="9" t="str">
        <v>Dwight Albright Huffman</v>
      </c>
    </row>
    <row r="601" spans="1:1">
      <c r="A601" s="9" t="str">
        <v>Herbert Williamson</v>
      </c>
    </row>
    <row r="602" spans="1:1">
      <c r="A602" s="9" t="str">
        <v>Clifford Webb</v>
      </c>
    </row>
    <row r="603" spans="1:1">
      <c r="A603" s="9" t="str">
        <v>Michelle Steele</v>
      </c>
    </row>
    <row r="604" spans="1:1">
      <c r="A604" s="9" t="str">
        <v>Joy Kaplan McNeill</v>
      </c>
    </row>
    <row r="605" spans="1:1">
      <c r="A605" s="9" t="str">
        <v>Erika Morgan</v>
      </c>
    </row>
    <row r="606" spans="1:1">
      <c r="A606" s="9" t="str">
        <v>Gina B Hess</v>
      </c>
    </row>
    <row r="607" spans="1:1">
      <c r="A607" s="9" t="str">
        <v>Roberta Daniel</v>
      </c>
    </row>
    <row r="608" spans="1:1">
      <c r="A608" s="9" t="str">
        <v>Lisa Kim</v>
      </c>
    </row>
    <row r="609" spans="1:1">
      <c r="A609" s="9" t="str">
        <v>Martin Kirk</v>
      </c>
    </row>
    <row r="610" spans="1:1">
      <c r="A610" s="9" t="str">
        <v>Anita Kent</v>
      </c>
    </row>
    <row r="611" spans="1:1">
      <c r="A611" s="9" t="str">
        <v>Jacob Hirsch</v>
      </c>
    </row>
    <row r="612" spans="1:1">
      <c r="A612" s="9" t="str">
        <v>Oscar Bowers</v>
      </c>
    </row>
    <row r="613" spans="1:1">
      <c r="A613" s="9" t="str">
        <v>Gretchen Levine</v>
      </c>
    </row>
    <row r="614" spans="1:1">
      <c r="A614" s="9" t="str">
        <v>Melanie Burgess</v>
      </c>
    </row>
    <row r="615" spans="1:1">
      <c r="A615" s="9" t="str">
        <v>Maureen Herbert Hood</v>
      </c>
    </row>
    <row r="616" spans="1:1">
      <c r="A616" s="9" t="str">
        <v>Penny Tuttle</v>
      </c>
    </row>
    <row r="617" spans="1:1">
      <c r="A617" s="9" t="str">
        <v>Amy Hall</v>
      </c>
    </row>
    <row r="618" spans="1:1">
      <c r="A618" s="9" t="str">
        <v>Sean Stephenson</v>
      </c>
    </row>
    <row r="619" spans="1:1">
      <c r="A619" s="9" t="str">
        <v>Marcia Feldman</v>
      </c>
    </row>
    <row r="620" spans="1:1">
      <c r="A620" s="9" t="str">
        <v>Tracy Buckley</v>
      </c>
    </row>
    <row r="621" spans="1:1">
      <c r="A621" s="9" t="str">
        <v>Hannah Tyson</v>
      </c>
    </row>
    <row r="622" spans="1:1">
      <c r="A622" s="9" t="str">
        <v>Nathan Jenkins</v>
      </c>
    </row>
    <row r="623" spans="1:1">
      <c r="A623" s="9" t="str">
        <v>Earl Alston</v>
      </c>
    </row>
    <row r="624" spans="1:1">
      <c r="A624" s="9" t="str">
        <v>Gregory R Snow</v>
      </c>
    </row>
    <row r="625" spans="1:1">
      <c r="A625" s="9" t="str">
        <v>William Crawford</v>
      </c>
    </row>
    <row r="626" spans="1:1">
      <c r="A626" s="9" t="str">
        <v>Scott Moore</v>
      </c>
    </row>
    <row r="627" spans="1:1">
      <c r="A627" s="9" t="str">
        <v>Diana Coble Hubbard</v>
      </c>
    </row>
    <row r="628" spans="1:1">
      <c r="A628" s="9" t="str">
        <v>Franklin Spencer</v>
      </c>
    </row>
    <row r="629" spans="1:1">
      <c r="A629" s="9" t="str">
        <v>Eileen McDonald</v>
      </c>
    </row>
    <row r="630" spans="1:1">
      <c r="A630" s="9" t="str">
        <v>Teresa Wallace</v>
      </c>
    </row>
    <row r="631" spans="1:1">
      <c r="A631" s="9" t="str">
        <v>Dana Waller</v>
      </c>
    </row>
    <row r="632" spans="1:1">
      <c r="A632" s="9" t="str">
        <v>Leslie Shannon</v>
      </c>
    </row>
    <row r="633" spans="1:1">
      <c r="A633" s="9" t="str">
        <v>Justin Frank</v>
      </c>
    </row>
    <row r="634" spans="1:1">
      <c r="A634" s="9" t="str">
        <v>Ted Crowder</v>
      </c>
    </row>
    <row r="635" spans="1:1">
      <c r="A635" s="9" t="str">
        <v>Vickie Martinez</v>
      </c>
    </row>
    <row r="636" spans="1:1">
      <c r="A636" s="9" t="str">
        <v>Bonnie Matthews Rowland</v>
      </c>
    </row>
    <row r="637" spans="1:1">
      <c r="A637" s="9" t="str">
        <v>Sean Burton</v>
      </c>
    </row>
    <row r="638" spans="1:1">
      <c r="A638" s="9" t="str">
        <v>Carolyn Hoffman</v>
      </c>
    </row>
    <row r="639" spans="1:1">
      <c r="A639" s="9" t="str">
        <v>Marsha Roy</v>
      </c>
    </row>
    <row r="640" spans="1:1">
      <c r="A640" s="9" t="str">
        <v>Priscilla Brandon</v>
      </c>
    </row>
    <row r="641" spans="1:1">
      <c r="A641" s="9" t="str">
        <v>Robert Brantley</v>
      </c>
    </row>
    <row r="642" spans="1:1">
      <c r="A642" s="9" t="str">
        <v>Sherri F Vogel</v>
      </c>
    </row>
    <row r="643" spans="1:1">
      <c r="A643" s="9" t="str">
        <v>Marianne Weiner Ennis</v>
      </c>
    </row>
    <row r="644" spans="1:1">
      <c r="A644" s="9" t="str">
        <v>Lynne Wilcox</v>
      </c>
    </row>
    <row r="645" spans="1:1">
      <c r="A645" s="9" t="str">
        <v>Lynda Rosenthal</v>
      </c>
    </row>
    <row r="646" spans="1:1">
      <c r="A646" s="9" t="str">
        <v>Anna Burgess</v>
      </c>
    </row>
    <row r="647" spans="1:1">
      <c r="A647" s="9" t="str">
        <v>David Weaver</v>
      </c>
    </row>
    <row r="648" spans="1:1">
      <c r="A648" s="9" t="str">
        <v>Paula Hubbard</v>
      </c>
    </row>
    <row r="649" spans="1:1">
      <c r="A649" s="9" t="str">
        <v>Harriet Bowman</v>
      </c>
    </row>
    <row r="650" spans="1:1">
      <c r="A650" s="9" t="str">
        <v>Judy Frazier</v>
      </c>
    </row>
    <row r="651" spans="1:1">
      <c r="A651" s="9" t="str">
        <v>James Dickinson Ball</v>
      </c>
    </row>
    <row r="652" spans="1:1">
      <c r="A652" s="9" t="str">
        <v>Cynthia Khan</v>
      </c>
    </row>
    <row r="653" spans="1:1">
      <c r="A653" s="9" t="str">
        <v>Wayne Bean</v>
      </c>
    </row>
    <row r="654" spans="1:1">
      <c r="A654" s="9" t="str">
        <v>Cathy Simon</v>
      </c>
    </row>
    <row r="655" spans="1:1">
      <c r="A655" s="9" t="str">
        <v>Erika Jordan</v>
      </c>
    </row>
    <row r="656" spans="1:1">
      <c r="A656" s="9" t="str">
        <v>Lindsay O'Connell</v>
      </c>
    </row>
    <row r="657" spans="1:1">
      <c r="A657" s="9" t="str">
        <v>Jon Ward</v>
      </c>
    </row>
    <row r="658" spans="1:1">
      <c r="A658" s="9" t="str">
        <v>Lynda Herman</v>
      </c>
    </row>
    <row r="659" spans="1:1">
      <c r="A659" s="9" t="str">
        <v>Peter Adams</v>
      </c>
    </row>
    <row r="660" spans="1:1">
      <c r="A660" s="9" t="str">
        <v>Jay Simon</v>
      </c>
    </row>
    <row r="661" spans="1:1">
      <c r="A661" s="9" t="str">
        <v>Eileen Schwartz</v>
      </c>
    </row>
    <row r="662" spans="1:1">
      <c r="A662" s="9" t="str">
        <v>Kenneth Pollock</v>
      </c>
    </row>
    <row r="663" spans="1:1">
      <c r="A663" s="9" t="str">
        <v>Francis Kendall</v>
      </c>
    </row>
    <row r="664" spans="1:1">
      <c r="A664" s="9" t="str">
        <v>Louise Webster Sharma</v>
      </c>
    </row>
    <row r="665" spans="1:1">
      <c r="A665" s="9" t="str">
        <v>Nathan Newton</v>
      </c>
    </row>
    <row r="666" spans="1:1">
      <c r="A666" s="9" t="str">
        <v>Marianne Carey</v>
      </c>
    </row>
    <row r="667" spans="1:1">
      <c r="A667" s="9" t="str">
        <v>Alfred Singh</v>
      </c>
    </row>
    <row r="668" spans="1:1">
      <c r="A668" s="9" t="str">
        <v>Todd D Norris</v>
      </c>
    </row>
    <row r="669" spans="1:1">
      <c r="A669" s="9" t="str">
        <v>Claudia Webb</v>
      </c>
    </row>
    <row r="670" spans="1:1">
      <c r="A670" s="9" t="str">
        <v>Elsie Boykin</v>
      </c>
    </row>
    <row r="671" spans="1:1">
      <c r="A671" s="9" t="str">
        <v>Kelly Collins</v>
      </c>
    </row>
    <row r="672" spans="1:1">
      <c r="A672" s="9" t="str">
        <v>Victor Cherry</v>
      </c>
    </row>
    <row r="673" spans="1:1">
      <c r="A673" s="9" t="str">
        <v>Malcolm S Lanier</v>
      </c>
    </row>
    <row r="674" spans="1:1">
      <c r="A674" s="9" t="str">
        <v>Evan Kelley</v>
      </c>
    </row>
    <row r="675" spans="1:1">
      <c r="A675" s="9" t="str">
        <v>Matthew Conway</v>
      </c>
    </row>
    <row r="676" spans="1:1">
      <c r="A676" s="9" t="str">
        <v>Annie Odom</v>
      </c>
    </row>
    <row r="677" spans="1:1">
      <c r="A677" s="9" t="str">
        <v>Vernon Hirsch Singleton</v>
      </c>
    </row>
    <row r="678" spans="1:1">
      <c r="A678" s="9" t="str">
        <v>Patsy Shea</v>
      </c>
    </row>
    <row r="679" spans="1:1">
      <c r="A679" s="9" t="str">
        <v>Tracy Dyer</v>
      </c>
    </row>
    <row r="680" spans="1:1">
      <c r="A680" s="9" t="str">
        <v>Nathan Fox</v>
      </c>
    </row>
    <row r="681" spans="1:1">
      <c r="A681" s="9" t="str">
        <v>Leigh Burnette Hurley</v>
      </c>
    </row>
    <row r="682" spans="1:1">
      <c r="A682" s="9" t="str">
        <v>Alfred Barber</v>
      </c>
    </row>
    <row r="683" spans="1:1">
      <c r="A683" s="9" t="str">
        <v>Paige Mason</v>
      </c>
    </row>
    <row r="684" spans="1:1">
      <c r="A684" s="9" t="str">
        <v>Jeffrey Lloyd</v>
      </c>
    </row>
    <row r="685" spans="1:1">
      <c r="A685" s="9" t="str">
        <v>Jack Hatcher</v>
      </c>
    </row>
    <row r="686" spans="1:1">
      <c r="A686" s="9" t="str">
        <v>Carolyn Fisher</v>
      </c>
    </row>
    <row r="687" spans="1:1">
      <c r="A687" s="9" t="str">
        <v>Paige Powers</v>
      </c>
    </row>
    <row r="688" spans="1:1">
      <c r="A688" s="9" t="str">
        <v>Joyce Kern</v>
      </c>
    </row>
    <row r="689" spans="1:1">
      <c r="A689" s="9" t="str">
        <v>Mary Hewitt</v>
      </c>
    </row>
    <row r="690" spans="1:1">
      <c r="A690" s="9" t="str">
        <v>Philip Hawkins</v>
      </c>
    </row>
    <row r="691" spans="1:1">
      <c r="A691" s="9" t="str">
        <v>Melvin Kendall</v>
      </c>
    </row>
    <row r="692" spans="1:1">
      <c r="A692" s="9" t="str">
        <v>Crystal Crabtree</v>
      </c>
    </row>
    <row r="693" spans="1:1">
      <c r="A693" s="9" t="str">
        <v>Jon Kendall</v>
      </c>
    </row>
    <row r="694" spans="1:1">
      <c r="A694" s="9" t="str">
        <v>Molly Webster</v>
      </c>
    </row>
    <row r="695" spans="1:1">
      <c r="A695" s="9" t="str">
        <v>Lester Sawyer</v>
      </c>
    </row>
    <row r="696" spans="1:1">
      <c r="A696" s="9" t="str">
        <v>Kerry Hardy</v>
      </c>
    </row>
    <row r="697" spans="1:1">
      <c r="A697" s="9" t="str">
        <v>Courtney Boyd</v>
      </c>
    </row>
    <row r="698" spans="1:1">
      <c r="A698" s="9" t="str">
        <v>Melinda Rogers</v>
      </c>
    </row>
    <row r="699" spans="1:1">
      <c r="A699" s="9" t="str">
        <v>Tom Hoyle Honeycutt</v>
      </c>
    </row>
    <row r="700" spans="1:1">
      <c r="A700" s="9" t="str">
        <v>Wesley Field</v>
      </c>
    </row>
    <row r="701" spans="1:1">
      <c r="A701" s="9" t="str">
        <v>Brenda Jain</v>
      </c>
    </row>
    <row r="702" spans="1:1">
      <c r="A702" s="9" t="str">
        <v>Harry Sellers</v>
      </c>
    </row>
    <row r="703" spans="1:1">
      <c r="A703" s="9" t="str">
        <v>Melanie Knight</v>
      </c>
    </row>
    <row r="704" spans="1:1">
      <c r="A704" s="9" t="str">
        <v>Judy Hall</v>
      </c>
    </row>
    <row r="705" spans="1:1">
      <c r="A705" s="9" t="str">
        <v>Sheryl Reese</v>
      </c>
    </row>
    <row r="706" spans="1:1">
      <c r="A706" s="9" t="str">
        <v>Joanne Spivey</v>
      </c>
    </row>
    <row r="707" spans="1:1">
      <c r="A707" s="9" t="str">
        <v>Frank Cross</v>
      </c>
    </row>
    <row r="708" spans="1:1">
      <c r="A708" s="9" t="str">
        <v>Marvin Patrick</v>
      </c>
    </row>
    <row r="709" spans="1:1">
      <c r="A709" s="9" t="str">
        <v>Donald Melton</v>
      </c>
    </row>
    <row r="710" spans="1:1">
      <c r="A710" s="9" t="str">
        <v>Gene Heath Cross</v>
      </c>
    </row>
    <row r="711" spans="1:1">
      <c r="A711" s="9" t="str">
        <v>Karen O'Donnell</v>
      </c>
    </row>
    <row r="712" spans="1:1">
      <c r="A712" s="9" t="str">
        <v>Lester Woodward Maynard</v>
      </c>
    </row>
    <row r="713" spans="1:1">
      <c r="A713" s="9" t="str">
        <v>David Hoyle</v>
      </c>
    </row>
    <row r="714" spans="1:1">
      <c r="A714" s="9" t="str">
        <v>Laurie Howe</v>
      </c>
    </row>
    <row r="715" spans="1:1">
      <c r="A715" s="9" t="str">
        <v>Eddie Walker</v>
      </c>
    </row>
    <row r="716" spans="1:1">
      <c r="A716" s="9" t="str">
        <v>Oscar Ford</v>
      </c>
    </row>
    <row r="717" spans="1:1">
      <c r="A717" s="9" t="str">
        <v>Bobby Powell</v>
      </c>
    </row>
    <row r="718" spans="1:1">
      <c r="A718" s="9" t="str">
        <v>Sharon Thomas</v>
      </c>
    </row>
    <row r="719" spans="1:1">
      <c r="A719" s="9" t="str">
        <v>Anita Hahn</v>
      </c>
    </row>
    <row r="720" spans="1:1">
      <c r="A720" s="9" t="str">
        <v>Stacy Chang</v>
      </c>
    </row>
    <row r="721" spans="1:1">
      <c r="A721" s="9" t="str">
        <v>Christopher High</v>
      </c>
    </row>
    <row r="722" spans="1:1">
      <c r="A722" s="9" t="str">
        <v>Clara Kaplan</v>
      </c>
    </row>
    <row r="723" spans="1:1">
      <c r="A723" s="9" t="str">
        <v>Jennifer Stanton</v>
      </c>
    </row>
    <row r="724" spans="1:1">
      <c r="A724" s="9" t="str">
        <v>Sean McKenna</v>
      </c>
    </row>
    <row r="725" spans="1:1">
      <c r="A725" s="9" t="str">
        <v>Maurice Kelly</v>
      </c>
    </row>
    <row r="726" spans="1:1">
      <c r="A726" s="9" t="str">
        <v>Alvin Hoover</v>
      </c>
    </row>
    <row r="727" spans="1:1">
      <c r="A727" s="9" t="str">
        <v>Jeff Meadows</v>
      </c>
    </row>
    <row r="728" spans="1:1">
      <c r="A728" s="9" t="str">
        <v>Lloyd Levin</v>
      </c>
    </row>
    <row r="729" spans="1:1">
      <c r="A729" s="9" t="str">
        <v>Bernard Thompson</v>
      </c>
    </row>
    <row r="730" spans="1:1">
      <c r="A730" s="9" t="str">
        <v>Nicole Pope</v>
      </c>
    </row>
    <row r="731" spans="1:1">
      <c r="A731" s="9" t="str">
        <v>Geoffrey H Wong</v>
      </c>
    </row>
    <row r="732" spans="1:1">
      <c r="A732" s="9" t="str">
        <v>Helen Dickerson</v>
      </c>
    </row>
    <row r="733" spans="1:1">
      <c r="A733" s="9" t="str">
        <v>James Davenport</v>
      </c>
    </row>
    <row r="734" spans="1:1">
      <c r="A734" s="9" t="str">
        <v>Brandon Beach</v>
      </c>
    </row>
    <row r="735" spans="1:1">
      <c r="A735" s="9" t="str">
        <v>Carlos Adkins</v>
      </c>
    </row>
    <row r="736" spans="1:1">
      <c r="A736" s="9" t="str">
        <v>Kristine Holden</v>
      </c>
    </row>
    <row r="737" spans="1:1">
      <c r="A737" s="9" t="str">
        <v>Brett Ingram</v>
      </c>
    </row>
    <row r="738" spans="1:1">
      <c r="A738" s="9" t="str">
        <v>Debra Block</v>
      </c>
    </row>
    <row r="739" spans="1:1">
      <c r="A739" s="9" t="str">
        <v>Marlene Harrison</v>
      </c>
    </row>
    <row r="740" spans="1:1">
      <c r="A740" s="9" t="str">
        <v>Dennis Block Richardson</v>
      </c>
    </row>
    <row r="741" spans="1:1">
      <c r="A741" s="9" t="str">
        <v>Lucille McGee</v>
      </c>
    </row>
    <row r="742" spans="1:1">
      <c r="A742" s="9" t="str">
        <v>Monica Harvey</v>
      </c>
    </row>
    <row r="743" spans="1:1">
      <c r="A743" s="9" t="str">
        <v>Jimmy Waters</v>
      </c>
    </row>
    <row r="744" spans="1:1">
      <c r="A744" s="9" t="str">
        <v>Nancy Holden</v>
      </c>
    </row>
    <row r="745" spans="1:1">
      <c r="A745" s="9" t="str">
        <v>Arnold Floyd Blair</v>
      </c>
    </row>
    <row r="746" spans="1:1">
      <c r="A746" s="9" t="str">
        <v>Larry Langston</v>
      </c>
    </row>
    <row r="747" spans="1:1">
      <c r="A747" s="9" t="str">
        <v>Samuel Newman</v>
      </c>
    </row>
    <row r="748" spans="1:1">
      <c r="A748" s="9" t="str">
        <v>Ryan Herman</v>
      </c>
    </row>
    <row r="749" spans="1:1">
      <c r="A749" s="9" t="str">
        <v>Glen Robertson</v>
      </c>
    </row>
    <row r="750" spans="1:1">
      <c r="A750" s="9" t="str">
        <v>Beth Dolan</v>
      </c>
    </row>
    <row r="751" spans="1:1">
      <c r="A751" s="9" t="str">
        <v>Joe Baldwin</v>
      </c>
    </row>
    <row r="752" spans="1:1">
      <c r="A752" s="9" t="str">
        <v>Pat Kinney</v>
      </c>
    </row>
    <row r="753" spans="1:1">
      <c r="A753" s="9" t="str">
        <v>Laurence Cummings</v>
      </c>
    </row>
    <row r="754" spans="1:1">
      <c r="A754" s="9" t="str">
        <v>Emma Buckley</v>
      </c>
    </row>
    <row r="755" spans="1:1">
      <c r="A755" s="9" t="str">
        <v>Kara Foster</v>
      </c>
    </row>
    <row r="756" spans="1:1">
      <c r="A756" s="9" t="str">
        <v>Megan Woods</v>
      </c>
    </row>
    <row r="757" spans="1:1">
      <c r="A757" s="9" t="str">
        <v>Stephanie Hawkins</v>
      </c>
    </row>
    <row r="758" spans="1:1">
      <c r="A758" s="9" t="str">
        <v>Lynn Hines</v>
      </c>
    </row>
    <row r="759" spans="1:1">
      <c r="A759" s="9" t="str">
        <v>Gordon Boswell</v>
      </c>
    </row>
    <row r="760" spans="1:1">
      <c r="A760" s="9" t="str">
        <v>Colleen Marsh</v>
      </c>
    </row>
    <row r="761" spans="1:1">
      <c r="A761" s="9" t="str">
        <v>Sylvia Kumar</v>
      </c>
    </row>
    <row r="762" spans="1:1">
      <c r="A762" s="9" t="str">
        <v>Faye Silver</v>
      </c>
    </row>
    <row r="763" spans="1:1">
      <c r="A763" s="9" t="str">
        <v>Kerry Beach</v>
      </c>
    </row>
    <row r="764" spans="1:1">
      <c r="A764" s="9" t="str">
        <v>Patrick Lowry</v>
      </c>
    </row>
    <row r="765" spans="1:1">
      <c r="A765" s="9" t="str">
        <v>Clyde Burnett</v>
      </c>
    </row>
    <row r="766" spans="1:1">
      <c r="A766" s="9" t="str">
        <v>Emma Bloom</v>
      </c>
    </row>
    <row r="767" spans="1:1">
      <c r="A767" s="9" t="str">
        <v>Danielle Baird</v>
      </c>
    </row>
    <row r="768" spans="1:1">
      <c r="A768" s="9" t="str">
        <v>Annie Horne</v>
      </c>
    </row>
    <row r="769" spans="1:1">
      <c r="A769" s="9" t="str">
        <v>Vincent Daniel</v>
      </c>
    </row>
    <row r="770" spans="1:1">
      <c r="A770" s="9" t="str">
        <v>Jacob Murray</v>
      </c>
    </row>
    <row r="771" spans="1:1">
      <c r="A771" s="9" t="str">
        <v>Mike G Hartman</v>
      </c>
    </row>
    <row r="772" spans="1:1">
      <c r="A772" s="9" t="str">
        <v>Marvin Parrott</v>
      </c>
    </row>
    <row r="773" spans="1:1">
      <c r="A773" s="9" t="str">
        <v>Debra Batchelor</v>
      </c>
    </row>
    <row r="774" spans="1:1">
      <c r="A774" s="9" t="str">
        <v>Mildred Briggs</v>
      </c>
    </row>
    <row r="775" spans="1:1">
      <c r="A775" s="9" t="str">
        <v>Lisa Branch</v>
      </c>
    </row>
    <row r="776" spans="1:1">
      <c r="A776" s="9" t="str">
        <v>Geoffrey Saunders</v>
      </c>
    </row>
    <row r="777" spans="1:1">
      <c r="A777" s="9" t="str">
        <v>Janice Frye</v>
      </c>
    </row>
    <row r="778" spans="1:1">
      <c r="A778" s="9" t="str">
        <v>Jacob McNeill</v>
      </c>
    </row>
    <row r="779" spans="1:1">
      <c r="A779" s="9" t="str">
        <v>Debbie Dillon</v>
      </c>
    </row>
    <row r="780" spans="1:1">
      <c r="A780" s="9" t="str">
        <v>Tina Monroe</v>
      </c>
    </row>
    <row r="781" spans="1:1">
      <c r="A781" s="9" t="str">
        <v>Beverly Roberts</v>
      </c>
    </row>
    <row r="782" spans="1:1">
      <c r="A782" s="9" t="str">
        <v>Julian F Wolfe</v>
      </c>
    </row>
    <row r="783" spans="1:1">
      <c r="A783" s="9" t="str">
        <v>Ken H Frazier</v>
      </c>
    </row>
    <row r="784" spans="1:1">
      <c r="A784" s="9" t="str">
        <v>Kyle Fink</v>
      </c>
    </row>
    <row r="785" spans="1:1">
      <c r="A785" s="9" t="str">
        <v>Sandra Faulkner</v>
      </c>
    </row>
    <row r="786" spans="1:1">
      <c r="A786" s="9" t="str">
        <v>Wesley Cho</v>
      </c>
    </row>
    <row r="787" spans="1:1">
      <c r="A787" s="9" t="str">
        <v>Arlene Wiggins Dalton</v>
      </c>
    </row>
    <row r="788" spans="1:1">
      <c r="A788" s="9" t="str">
        <v>Nicholas Wallace</v>
      </c>
    </row>
    <row r="789" spans="1:1">
      <c r="A789" s="9" t="str">
        <v>Dorothy Holt</v>
      </c>
    </row>
    <row r="790" spans="1:1">
      <c r="A790" s="9" t="str">
        <v>John Merritt</v>
      </c>
    </row>
    <row r="791" spans="1:1">
      <c r="A791" s="9" t="str">
        <v>Kimberly Reilly</v>
      </c>
    </row>
    <row r="792" spans="1:1">
      <c r="A792" s="9" t="str">
        <v>Troy Cassidy</v>
      </c>
    </row>
    <row r="793" spans="1:1">
      <c r="A793" s="9" t="str">
        <v>Lindsay Tate</v>
      </c>
    </row>
    <row r="794" spans="1:1">
      <c r="A794" s="9" t="str">
        <v>Debra P May</v>
      </c>
    </row>
    <row r="795" spans="1:1">
      <c r="A795" s="9" t="str">
        <v>Judith Shepherd</v>
      </c>
    </row>
    <row r="796" spans="1:1">
      <c r="A796" s="9" t="str">
        <v>Kenneth Capps</v>
      </c>
    </row>
    <row r="797" spans="1:1">
      <c r="A797" s="9" t="str">
        <v>Natalie Aldridge</v>
      </c>
    </row>
    <row r="798" spans="1:1">
      <c r="A798" s="9" t="str">
        <v>Danny Richmond</v>
      </c>
    </row>
    <row r="799" spans="1:1">
      <c r="A799" s="9" t="str">
        <v>Melanie Morrow</v>
      </c>
    </row>
    <row r="800" spans="1:1">
      <c r="A800" s="9" t="str">
        <v>Tonya Miller</v>
      </c>
    </row>
    <row r="801" spans="1:1">
      <c r="A801" s="9" t="str">
        <v>Donna Braun</v>
      </c>
    </row>
    <row r="802" spans="1:1">
      <c r="A802" s="9" t="str">
        <v>Joan Beach</v>
      </c>
    </row>
    <row r="803" spans="1:1">
      <c r="A803" s="9" t="str">
        <v>Yvonne Collier</v>
      </c>
    </row>
    <row r="804" spans="1:1">
      <c r="A804" s="9" t="str">
        <v>Troy Casey</v>
      </c>
    </row>
    <row r="805" spans="1:1">
      <c r="A805" s="9" t="str">
        <v>Lucille Gibbons</v>
      </c>
    </row>
    <row r="806" spans="1:1">
      <c r="A806" s="9" t="str">
        <v>Joe George</v>
      </c>
    </row>
    <row r="807" spans="1:1">
      <c r="A807" s="9" t="str">
        <v>Gilbert Godfrey</v>
      </c>
    </row>
    <row r="808" spans="1:1">
      <c r="A808" s="9" t="str">
        <v>Rhonda Stein</v>
      </c>
    </row>
    <row r="809" spans="1:1">
      <c r="A809" s="9" t="str">
        <v>Ricky Sanders</v>
      </c>
    </row>
    <row r="810" spans="1:1">
      <c r="A810" s="9" t="str">
        <v>Kelly Sawyer</v>
      </c>
    </row>
    <row r="811" spans="1:1">
      <c r="A811" s="9" t="str">
        <v>Rhonda Bryant</v>
      </c>
    </row>
    <row r="812" spans="1:1">
      <c r="A812" s="9" t="str">
        <v>Jack Horn</v>
      </c>
    </row>
    <row r="813" spans="1:1">
      <c r="A813" s="9" t="str">
        <v>Michelle Bryant Phillips</v>
      </c>
    </row>
    <row r="814" spans="1:1">
      <c r="A814" s="9" t="str">
        <v>Gordon Walker</v>
      </c>
    </row>
    <row r="815" spans="1:1">
      <c r="A815" s="9" t="str">
        <v>Craig Liu</v>
      </c>
    </row>
    <row r="816" spans="1:1">
      <c r="A816" s="9" t="str">
        <v>Pauline Finch</v>
      </c>
    </row>
    <row r="817" spans="1:1">
      <c r="A817" s="9" t="str">
        <v>Sean N Boyer</v>
      </c>
    </row>
    <row r="818" spans="1:1">
      <c r="A818" s="9" t="str">
        <v>Maria Block</v>
      </c>
    </row>
    <row r="819" spans="1:1">
      <c r="A819" s="9" t="str">
        <v>Arlene Long</v>
      </c>
    </row>
    <row r="820" spans="1:1">
      <c r="A820" s="9" t="str">
        <v>Geoffrey Koch</v>
      </c>
    </row>
    <row r="821" spans="1:1">
      <c r="A821" s="9" t="str">
        <v>Kevin Smith</v>
      </c>
    </row>
    <row r="822" spans="1:1">
      <c r="A822" s="9" t="str">
        <v>Toni Owens Poe</v>
      </c>
    </row>
    <row r="823" spans="1:1">
      <c r="A823" s="9" t="str">
        <v>Alfred Harmon</v>
      </c>
    </row>
    <row r="824" spans="1:1">
      <c r="A824" s="9" t="str">
        <v>Jeanette Davies</v>
      </c>
    </row>
    <row r="825" spans="1:1">
      <c r="A825" s="9" t="str">
        <v>Pauline Brooks</v>
      </c>
    </row>
    <row r="826" spans="1:1">
      <c r="A826" s="9" t="str">
        <v>Sidney Larson</v>
      </c>
    </row>
    <row r="827" spans="1:1">
      <c r="A827" s="9" t="str">
        <v>Frances Holt</v>
      </c>
    </row>
    <row r="828" spans="1:1">
      <c r="A828" s="9" t="str">
        <v>Leo E Underwood</v>
      </c>
    </row>
    <row r="829" spans="1:1">
      <c r="A829" s="9" t="str">
        <v>Sandy Mueller</v>
      </c>
    </row>
    <row r="830" spans="1:1">
      <c r="A830" s="9" t="str">
        <v>Shawn Meyer</v>
      </c>
    </row>
    <row r="831" spans="1:1">
      <c r="A831" s="9" t="str">
        <v>Harriet Wooten</v>
      </c>
    </row>
    <row r="832" spans="1:1">
      <c r="A832" s="9" t="str">
        <v>Derek Sweeney</v>
      </c>
    </row>
    <row r="833" spans="1:1">
      <c r="A833" s="9" t="str">
        <v>Gretchen Orr</v>
      </c>
    </row>
    <row r="834" spans="1:1">
      <c r="A834" s="9" t="str">
        <v>Janet Zhang</v>
      </c>
    </row>
    <row r="835" spans="1:1">
      <c r="A835" s="9" t="str">
        <v>Rick Houston</v>
      </c>
    </row>
    <row r="836" spans="1:1">
      <c r="A836" s="9" t="str">
        <v>Mitchell Goldberg</v>
      </c>
    </row>
    <row r="837" spans="1:1">
      <c r="A837" s="9" t="str">
        <v>Max Hubbard</v>
      </c>
    </row>
    <row r="838" spans="1:1">
      <c r="A838" s="9" t="str">
        <v>Helen Ferguson</v>
      </c>
    </row>
    <row r="839" spans="1:1">
      <c r="A839" s="9" t="str">
        <v>Josephine Dalton</v>
      </c>
    </row>
    <row r="840" spans="1:1">
      <c r="A840" s="9" t="str">
        <v>Rick Ellis</v>
      </c>
    </row>
    <row r="841" spans="1:1">
      <c r="A841" s="9" t="str">
        <v>Edna Freeman</v>
      </c>
    </row>
    <row r="842" spans="1:1">
      <c r="A842" s="9" t="str">
        <v>Wayne Bass</v>
      </c>
    </row>
    <row r="843" spans="1:1">
      <c r="A843" s="9" t="str">
        <v>Martha Bowers</v>
      </c>
    </row>
    <row r="844" spans="1:1">
      <c r="A844" s="9" t="str">
        <v>Joan Bowers</v>
      </c>
    </row>
    <row r="845" spans="1:1">
      <c r="A845" s="9" t="str">
        <v>Virginia McNeill</v>
      </c>
    </row>
    <row r="846" spans="1:1">
      <c r="A846" s="9" t="str">
        <v>Karl Knowles</v>
      </c>
    </row>
    <row r="847" spans="1:1">
      <c r="A847" s="9" t="str">
        <v>Laurie Moon</v>
      </c>
    </row>
    <row r="848" spans="1:1">
      <c r="A848" s="9" t="str">
        <v>Karen Warren</v>
      </c>
    </row>
    <row r="849" spans="1:1">
      <c r="A849" s="9" t="str">
        <v>Yvonne Stephens</v>
      </c>
    </row>
    <row r="850" spans="1:1">
      <c r="A850" s="9" t="str">
        <v>Rosemary O'Brien</v>
      </c>
    </row>
    <row r="851" spans="1:1">
      <c r="A851" s="9" t="str">
        <v>Kent Gill</v>
      </c>
    </row>
    <row r="852" spans="1:1">
      <c r="A852" s="9" t="str">
        <v>Marshall Sutherland</v>
      </c>
    </row>
    <row r="853" spans="1:1">
      <c r="A853" s="9" t="str">
        <v>Wendy Pridgen Pearce</v>
      </c>
    </row>
    <row r="854" spans="1:1">
      <c r="A854" s="9" t="str">
        <v>Seth Matthews</v>
      </c>
    </row>
    <row r="855" spans="1:1">
      <c r="A855" s="9" t="str">
        <v>Eugene H Walsh</v>
      </c>
    </row>
    <row r="856" spans="1:1">
      <c r="A856" s="9" t="str">
        <v>Anne Schultz</v>
      </c>
    </row>
    <row r="857" spans="1:1">
      <c r="A857" s="9" t="str">
        <v>Malcolm French</v>
      </c>
    </row>
    <row r="858" spans="1:1">
      <c r="A858" s="9" t="str">
        <v>Penny Leach</v>
      </c>
    </row>
    <row r="859" spans="1:1">
      <c r="A859" s="9" t="str">
        <v>Gina Curry</v>
      </c>
    </row>
    <row r="860" spans="1:1">
      <c r="A860" s="9" t="str">
        <v>Tommy Lutz</v>
      </c>
    </row>
    <row r="861" spans="1:1">
      <c r="A861" s="9" t="str">
        <v>Anthony Stanley</v>
      </c>
    </row>
    <row r="862" spans="1:1">
      <c r="A862" s="9" t="str">
        <v>Laurence Hull</v>
      </c>
    </row>
    <row r="863" spans="1:1">
      <c r="A863" s="9" t="str">
        <v>Gerald Crabtree</v>
      </c>
    </row>
    <row r="864" spans="1:1">
      <c r="A864" s="9" t="str">
        <v>Amy Hamrick Melvin</v>
      </c>
    </row>
    <row r="865" spans="1:1">
      <c r="A865" s="9" t="str">
        <v>Brandon E Shepherd</v>
      </c>
    </row>
    <row r="866" spans="1:1">
      <c r="A866" s="9" t="str">
        <v>Phyllis Little</v>
      </c>
    </row>
    <row r="867" spans="1:1">
      <c r="A867" s="9" t="str">
        <v>Robyn Hayes</v>
      </c>
    </row>
    <row r="868" spans="1:1">
      <c r="A868" s="9" t="str">
        <v>Lillian Fischer</v>
      </c>
    </row>
    <row r="869" spans="1:1">
      <c r="A869" s="9" t="str">
        <v>Danielle P Rao</v>
      </c>
    </row>
    <row r="870" spans="1:1">
      <c r="A870" s="9" t="str">
        <v>Betsy Puckett</v>
      </c>
    </row>
    <row r="871" spans="1:1">
      <c r="A871" s="9" t="str">
        <v>Alicia Wood Shah</v>
      </c>
    </row>
    <row r="872" spans="1:1">
      <c r="A872" s="9" t="str">
        <v>Marianne Connor</v>
      </c>
    </row>
    <row r="873" spans="1:1">
      <c r="A873" s="9" t="str">
        <v>Teresa Bishop</v>
      </c>
    </row>
    <row r="874" spans="1:1">
      <c r="A874" s="9" t="str">
        <v>Leo J Olson</v>
      </c>
    </row>
    <row r="875" spans="1:1">
      <c r="A875" s="9" t="str">
        <v>Joanne Chu</v>
      </c>
    </row>
    <row r="876" spans="1:1">
      <c r="A876" s="9" t="str">
        <v>Brenda Ross</v>
      </c>
    </row>
    <row r="877" spans="1:1">
      <c r="A877" s="9" t="str">
        <v>Leo Kane</v>
      </c>
    </row>
    <row r="878" spans="1:1">
      <c r="A878" s="9" t="str">
        <v>Benjamin Lam</v>
      </c>
    </row>
    <row r="879" spans="1:1">
      <c r="A879" s="9" t="str">
        <v>Jeffrey Page</v>
      </c>
    </row>
    <row r="880" spans="1:1">
      <c r="A880" s="9" t="str">
        <v>Pat Baker</v>
      </c>
    </row>
    <row r="881" spans="1:1">
      <c r="A881" s="9" t="str">
        <v>Carlos Hanson</v>
      </c>
    </row>
    <row r="882" spans="1:1">
      <c r="A882" s="9" t="str">
        <v>Yvonne Mann</v>
      </c>
    </row>
    <row r="883" spans="1:1">
      <c r="A883" s="9" t="str">
        <v>Lloyd Fuller</v>
      </c>
    </row>
    <row r="884" spans="1:1">
      <c r="A884" s="9" t="str">
        <v>Geoffrey Rivera</v>
      </c>
    </row>
    <row r="885" spans="1:1">
      <c r="A885" s="9" t="str">
        <v>Edna Michael</v>
      </c>
    </row>
    <row r="886" spans="1:1">
      <c r="A886" s="9" t="str">
        <v>Kathryn Wolfe</v>
      </c>
    </row>
    <row r="887" spans="1:1">
      <c r="A887" s="9" t="str">
        <v>Marlene Gray</v>
      </c>
    </row>
    <row r="888" spans="1:1">
      <c r="A888" s="9" t="str">
        <v>Lloyd Cannon</v>
      </c>
    </row>
    <row r="889" spans="1:1">
      <c r="A889" s="9" t="str">
        <v>Sally Dunn</v>
      </c>
    </row>
    <row r="890" spans="1:1">
      <c r="A890" s="9" t="str">
        <v>Ricky W Clements</v>
      </c>
    </row>
    <row r="891" spans="1:1">
      <c r="A891" s="9" t="str">
        <v>Marcia Greenberg</v>
      </c>
    </row>
    <row r="892" spans="1:1">
      <c r="A892" s="9" t="str">
        <v>Juan Gold</v>
      </c>
    </row>
    <row r="893" spans="1:1">
      <c r="A893" s="9" t="str">
        <v>Stanley Steele</v>
      </c>
    </row>
    <row r="894" spans="1:1">
      <c r="A894" s="9" t="str">
        <v>Lynda Banks</v>
      </c>
    </row>
    <row r="895" spans="1:1">
      <c r="A895" s="9" t="str">
        <v>Becky Farmer</v>
      </c>
    </row>
    <row r="896" spans="1:1">
      <c r="A896" s="9" t="str">
        <v>Caroline Stone</v>
      </c>
    </row>
    <row r="897" spans="1:1">
      <c r="A897" s="9" t="str">
        <v>Donna Block</v>
      </c>
    </row>
    <row r="898" spans="1:1">
      <c r="A898" s="9" t="str">
        <v>Erika Clapp</v>
      </c>
    </row>
    <row r="899" spans="1:1">
      <c r="A899" s="9" t="str">
        <v>Katharine Hudson</v>
      </c>
    </row>
    <row r="900" spans="1:1">
      <c r="A900" s="9" t="str">
        <v>Penny O Caldwell</v>
      </c>
    </row>
    <row r="901" spans="1:1">
      <c r="A901" s="9" t="str">
        <v>Rachel Bates</v>
      </c>
    </row>
    <row r="902" spans="1:1">
      <c r="A902" s="9" t="str">
        <v>Sherri Kramer</v>
      </c>
    </row>
    <row r="903" spans="1:1">
      <c r="A903" s="9" t="str">
        <v>Megan York</v>
      </c>
    </row>
    <row r="904" spans="1:1">
      <c r="A904" s="9" t="str">
        <v>Arnold Gay</v>
      </c>
    </row>
    <row r="905" spans="1:1">
      <c r="A905" s="9" t="str">
        <v>Brian Grady</v>
      </c>
    </row>
    <row r="906" spans="1:1">
      <c r="A906" s="9" t="str">
        <v>Allen Nash</v>
      </c>
    </row>
    <row r="907" spans="1:1">
      <c r="A907" s="9" t="str">
        <v>Evan Adkins</v>
      </c>
    </row>
    <row r="908" spans="1:1">
      <c r="A908" s="9" t="str">
        <v>Arnold Johnson</v>
      </c>
    </row>
    <row r="909" spans="1:1">
      <c r="A909" s="9" t="str">
        <v>Tracy Schultz</v>
      </c>
    </row>
    <row r="910" spans="1:1">
      <c r="A910" s="9" t="str">
        <v>Joel Burnette</v>
      </c>
    </row>
    <row r="911" spans="1:1">
      <c r="A911" s="9" t="str">
        <v>Kevin Wolfe</v>
      </c>
    </row>
    <row r="912" spans="1:1">
      <c r="A912" s="9" t="str">
        <v>Christina Zhu</v>
      </c>
    </row>
    <row r="913" spans="1:1">
      <c r="A913" s="9" t="str">
        <v>Theodore Rubin</v>
      </c>
    </row>
    <row r="914" spans="1:1">
      <c r="A914" s="9" t="str">
        <v>April Henson</v>
      </c>
    </row>
    <row r="915" spans="1:1">
      <c r="A915" s="9" t="str">
        <v>Alison Jones</v>
      </c>
    </row>
    <row r="916" spans="1:1">
      <c r="A916" s="9" t="str">
        <v>Jacob Burgess</v>
      </c>
    </row>
    <row r="917" spans="1:1">
      <c r="A917" s="9" t="str">
        <v>Kelly Byers</v>
      </c>
    </row>
    <row r="918" spans="1:1">
      <c r="A918" s="9" t="str">
        <v>Rodney Kearney</v>
      </c>
    </row>
    <row r="919" spans="1:1">
      <c r="A919" s="9" t="str">
        <v>Dawn Larson</v>
      </c>
    </row>
    <row r="920" spans="1:1">
      <c r="A920" s="9" t="str">
        <v>Connie Bunn</v>
      </c>
    </row>
    <row r="921" spans="1:1">
      <c r="A921" s="9" t="str">
        <v>Harry Burns</v>
      </c>
    </row>
    <row r="922" spans="1:1">
      <c r="A922" s="9" t="str">
        <v>Cindy McLeod</v>
      </c>
    </row>
    <row r="923" spans="1:1">
      <c r="A923" s="9" t="str">
        <v>Cameron Kendall</v>
      </c>
    </row>
    <row r="924" spans="1:1">
      <c r="A924" s="9" t="str">
        <v>Jimmy Wang</v>
      </c>
    </row>
    <row r="925" spans="1:1">
      <c r="A925" s="9" t="str">
        <v>Catherine Dorsey Burnett</v>
      </c>
    </row>
    <row r="926" spans="1:1">
      <c r="A926" s="9" t="str">
        <v>Marjorie Burnette</v>
      </c>
    </row>
    <row r="927" spans="1:1">
      <c r="A927" s="9" t="str">
        <v>Paul W French</v>
      </c>
    </row>
    <row r="928" spans="1:1">
      <c r="A928" s="9" t="str">
        <v>Laurence Simon</v>
      </c>
    </row>
    <row r="929" spans="1:1">
      <c r="A929" s="9" t="str">
        <v>Max Hurley</v>
      </c>
    </row>
    <row r="930" spans="1:1">
      <c r="A930" s="9" t="str">
        <v>Carole Rosen</v>
      </c>
    </row>
    <row r="931" spans="1:1">
      <c r="A931" s="9" t="str">
        <v>Monica Howard</v>
      </c>
    </row>
    <row r="932" spans="1:1">
      <c r="A932" s="9" t="str">
        <v>Tim Connolly</v>
      </c>
    </row>
    <row r="933" spans="1:1">
      <c r="A933" s="9" t="str">
        <v>Leslie Hawley</v>
      </c>
    </row>
    <row r="934" spans="1:1">
      <c r="A934" s="9" t="str">
        <v>Bob Berg</v>
      </c>
    </row>
    <row r="935" spans="1:1">
      <c r="A935" s="9" t="str">
        <v>Vanessa Day</v>
      </c>
    </row>
    <row r="936" spans="1:1">
      <c r="A936" s="9" t="str">
        <v>Eileen Dalton</v>
      </c>
    </row>
    <row r="937" spans="1:1">
      <c r="A937" s="9" t="str">
        <v>Annie Sherrill</v>
      </c>
    </row>
    <row r="938" spans="1:1">
      <c r="A938" s="9" t="str">
        <v>Vicki Womble</v>
      </c>
    </row>
    <row r="939" spans="1:1">
      <c r="A939" s="9" t="str">
        <v>Jerry Webster</v>
      </c>
    </row>
    <row r="940" spans="1:1">
      <c r="A940" s="9" t="str">
        <v>Brad H Blake</v>
      </c>
    </row>
    <row r="941" spans="1:1">
      <c r="A941" s="9" t="str">
        <v>Dwight Robinson</v>
      </c>
    </row>
    <row r="942" spans="1:1">
      <c r="A942" s="9" t="str">
        <v>Carrie High</v>
      </c>
    </row>
    <row r="943" spans="1:1">
      <c r="A943" s="9" t="str">
        <v>Roberta Mitchell</v>
      </c>
    </row>
    <row r="944" spans="1:1">
      <c r="A944" s="9" t="str">
        <v>Dana Teague</v>
      </c>
    </row>
    <row r="945" spans="1:1">
      <c r="A945" s="9" t="str">
        <v>Eugene Clayton</v>
      </c>
    </row>
    <row r="946" spans="1:1">
      <c r="A946" s="9" t="str">
        <v>Benjamin Gunter</v>
      </c>
    </row>
    <row r="947" spans="1:1">
      <c r="A947" s="9" t="str">
        <v>Marian Willis</v>
      </c>
    </row>
    <row r="948" spans="1:1">
      <c r="A948" s="9" t="str">
        <v>Shannon Aldridge</v>
      </c>
    </row>
    <row r="949" spans="1:1">
      <c r="A949" s="9" t="str">
        <v>Susan Carroll Berman</v>
      </c>
    </row>
    <row r="950" spans="1:1">
      <c r="A950" s="9" t="str">
        <v>Grace Black</v>
      </c>
    </row>
    <row r="951" spans="1:1">
      <c r="A951" s="9" t="str">
        <v>Andrew Gonzalez</v>
      </c>
    </row>
    <row r="952" spans="1:1">
      <c r="A952" s="9" t="str">
        <v>Stuart Sharma</v>
      </c>
    </row>
    <row r="953" spans="1:1">
      <c r="A953" s="9" t="str">
        <v>Stuart C Robinson</v>
      </c>
    </row>
    <row r="954" spans="1:1">
      <c r="A954" s="9" t="str">
        <v>Gary Frazier</v>
      </c>
    </row>
    <row r="955" spans="1:1">
      <c r="A955" s="9" t="str">
        <v>Gretchen McKinney</v>
      </c>
    </row>
    <row r="956" spans="1:1">
      <c r="A956" s="9" t="str">
        <v>Benjamin Porter</v>
      </c>
    </row>
    <row r="957" spans="1:1">
      <c r="A957" s="9" t="str">
        <v>Kathryn Tate</v>
      </c>
    </row>
    <row r="958" spans="1:1">
      <c r="A958" s="9" t="str">
        <v>Anna Ellis</v>
      </c>
    </row>
    <row r="959" spans="1:1">
      <c r="A959" s="9" t="str">
        <v>Betty Giles</v>
      </c>
    </row>
    <row r="960" spans="1:1">
      <c r="A960" s="9" t="str">
        <v>Frances Powers</v>
      </c>
    </row>
    <row r="961" spans="1:1">
      <c r="A961" s="9" t="str">
        <v>Robyn Lyon</v>
      </c>
    </row>
    <row r="962" spans="1:1">
      <c r="A962" s="9" t="str">
        <v>Hannah Carver</v>
      </c>
    </row>
    <row r="963" spans="1:1">
      <c r="A963" s="9" t="str">
        <v>Ernest Peele</v>
      </c>
    </row>
    <row r="964" spans="1:1">
      <c r="A964" s="9" t="str">
        <v>Lynne Griffith</v>
      </c>
    </row>
    <row r="965" spans="1:1">
      <c r="A965" s="9" t="str">
        <v>Courtney Nelson</v>
      </c>
    </row>
    <row r="966" spans="1:1">
      <c r="A966" s="9" t="str">
        <v>Leslie Woodard</v>
      </c>
    </row>
    <row r="967" spans="1:1">
      <c r="A967" s="9" t="str">
        <v>Faye Hanna</v>
      </c>
    </row>
    <row r="968" spans="1:1">
      <c r="A968" s="9" t="str">
        <v>Phyllis Hull</v>
      </c>
    </row>
    <row r="969" spans="1:1">
      <c r="A969" s="9" t="str">
        <v>Shirley Riley</v>
      </c>
    </row>
    <row r="970" spans="1:1">
      <c r="A970" s="9" t="str">
        <v>Laurie Case Daniel</v>
      </c>
    </row>
    <row r="971" spans="1:1">
      <c r="A971" s="9" t="str">
        <v>Leah Pollock</v>
      </c>
    </row>
    <row r="972" spans="1:1">
      <c r="A972" s="9" t="str">
        <v>Elsie Lane</v>
      </c>
    </row>
    <row r="973" spans="1:1">
      <c r="A973" s="9" t="str">
        <v>Kathy Turner</v>
      </c>
    </row>
    <row r="974" spans="1:1">
      <c r="A974" s="9" t="str">
        <v>Jordan Womble</v>
      </c>
    </row>
    <row r="975" spans="1:1">
      <c r="A975" s="9" t="str">
        <v>Thelma Murray</v>
      </c>
    </row>
    <row r="976" spans="1:1">
      <c r="A976" s="9" t="str">
        <v>William Sharma</v>
      </c>
    </row>
    <row r="977" spans="1:1">
      <c r="A977" s="9" t="str">
        <v>Francis I Davis</v>
      </c>
    </row>
    <row r="978" spans="1:1">
      <c r="A978" s="9" t="str">
        <v>Ellen Sparks</v>
      </c>
    </row>
    <row r="979" spans="1:1">
      <c r="A979" s="9" t="str">
        <v>Allan Dickinson</v>
      </c>
    </row>
    <row r="980" spans="1:1">
      <c r="A980" s="9" t="str">
        <v>Leonard Strauss</v>
      </c>
    </row>
    <row r="981" spans="1:1">
      <c r="A981" s="9" t="str">
        <v>Frances Johnson</v>
      </c>
    </row>
    <row r="982" spans="1:1">
      <c r="A982" s="9" t="str">
        <v>Kathy Hinton</v>
      </c>
    </row>
    <row r="983" spans="1:1">
      <c r="A983" s="9" t="str">
        <v>Miriam Bowman</v>
      </c>
    </row>
    <row r="984" spans="1:1">
      <c r="A984" s="9" t="str">
        <v>Sally Liu</v>
      </c>
    </row>
    <row r="985" spans="1:1">
      <c r="A985" s="9" t="str">
        <v>Fred Barber</v>
      </c>
    </row>
    <row r="986" spans="1:1">
      <c r="A986" s="9" t="str">
        <v>Lloyd Dolan</v>
      </c>
    </row>
    <row r="987" spans="1:1">
      <c r="A987" s="9" t="str">
        <v>Joanna Kenney</v>
      </c>
    </row>
    <row r="988" spans="1:1">
      <c r="A988" s="9" t="str">
        <v>Natalie Watts</v>
      </c>
    </row>
    <row r="989" spans="1:1">
      <c r="A989" s="9" t="str">
        <v>Sean Herbert</v>
      </c>
    </row>
    <row r="990" spans="1:1">
      <c r="A990" s="9" t="str">
        <v>Lindsay Webb</v>
      </c>
    </row>
    <row r="991" spans="1:1">
      <c r="A991" s="9" t="str">
        <v>Kim McCarthy</v>
      </c>
    </row>
    <row r="992" spans="1:1">
      <c r="A992" s="9" t="str">
        <v>Priscilla Allen</v>
      </c>
    </row>
    <row r="993" spans="1:1">
      <c r="A993" s="9" t="str">
        <v>Anthony Foley</v>
      </c>
    </row>
    <row r="994" spans="1:1">
      <c r="A994" s="9" t="str">
        <v>Roy Rouse</v>
      </c>
    </row>
    <row r="995" spans="1:1">
      <c r="A995" s="9" t="str">
        <v>Maurice Everett</v>
      </c>
    </row>
    <row r="996" spans="1:1">
      <c r="A996" s="9" t="str">
        <v>Teresa Watts</v>
      </c>
    </row>
    <row r="997" spans="1:1">
      <c r="A997" s="9" t="str">
        <v>Thomas Spence</v>
      </c>
    </row>
    <row r="998" spans="1:1">
      <c r="A998" s="9" t="str">
        <v>Penny Rich</v>
      </c>
    </row>
    <row r="999" spans="1:1">
      <c r="A999" s="9" t="str">
        <v>Tammy Raynor</v>
      </c>
    </row>
    <row r="1000" spans="1:1">
      <c r="A1000" s="9" t="str">
        <v>Annie Livingston</v>
      </c>
    </row>
    <row r="1001" spans="1:1">
      <c r="A1001" s="9" t="str">
        <v>Melvin Benton</v>
      </c>
    </row>
    <row r="1002" spans="1:1">
      <c r="A1002" s="9" t="str">
        <v>Tina Evans</v>
      </c>
    </row>
    <row r="1003" spans="1:1">
      <c r="A1003" s="9" t="str">
        <v>Edith Reynolds</v>
      </c>
    </row>
    <row r="1004" spans="1:1">
      <c r="A1004" s="9" t="str">
        <v>Carrie Duke</v>
      </c>
    </row>
    <row r="1005" spans="1:1">
      <c r="A1005" s="9" t="str">
        <v>Tara Gold</v>
      </c>
    </row>
    <row r="1006" spans="1:1">
      <c r="A1006" s="9" t="str">
        <v>Jordan Beard</v>
      </c>
    </row>
    <row r="1007" spans="1:1">
      <c r="A1007" s="9" t="str">
        <v>Andrew Pearce</v>
      </c>
    </row>
    <row r="1008" spans="1:1">
      <c r="A1008" s="9" t="str">
        <v>Tracy G Starr</v>
      </c>
    </row>
    <row r="1009" spans="1:1">
      <c r="A1009" s="9" t="str">
        <v>Robin Tyler</v>
      </c>
    </row>
    <row r="1010" spans="1:1">
      <c r="A1010" s="9" t="str">
        <v>Ann Steele</v>
      </c>
    </row>
    <row r="1011" spans="1:1">
      <c r="A1011" s="9" t="str">
        <v>Clarence Crowder</v>
      </c>
    </row>
    <row r="1012" spans="1:1">
      <c r="A1012" s="9" t="str">
        <v>Carole Miller</v>
      </c>
    </row>
    <row r="1013" spans="1:1">
      <c r="A1013" s="9" t="str">
        <v>Tiffany Merrill</v>
      </c>
    </row>
    <row r="1014" spans="1:1">
      <c r="A1014" s="9" t="str">
        <v>Gordon Brandt</v>
      </c>
    </row>
    <row r="1015" spans="1:1">
      <c r="A1015" s="9" t="str">
        <v>Peter Hardy</v>
      </c>
    </row>
    <row r="1016" spans="1:1">
      <c r="A1016" s="9" t="str">
        <v>Lynne Reid</v>
      </c>
    </row>
    <row r="1017" spans="1:1">
      <c r="A1017" s="9" t="str">
        <v>Kate McKenna</v>
      </c>
    </row>
    <row r="1018" spans="1:1">
      <c r="A1018" s="9" t="str">
        <v>Andrew Levine</v>
      </c>
    </row>
    <row r="1019" spans="1:1">
      <c r="A1019" s="9" t="str">
        <v>Debbie Hsu</v>
      </c>
    </row>
    <row r="1020" spans="1:1">
      <c r="A1020" s="9" t="str">
        <v>Ted Durham</v>
      </c>
    </row>
    <row r="1021" spans="1:1">
      <c r="A1021" s="9" t="str">
        <v>Sandy Cannon</v>
      </c>
    </row>
    <row r="1022" spans="1:1">
      <c r="A1022" s="9" t="str">
        <v>Milton Lindsay</v>
      </c>
    </row>
    <row r="1023" spans="1:1">
      <c r="A1023" s="9" t="str">
        <v>Mike Howard</v>
      </c>
    </row>
    <row r="1024" spans="1:1">
      <c r="A1024" s="9" t="str">
        <v>Lorraine Boykin</v>
      </c>
    </row>
    <row r="1025" spans="1:1">
      <c r="A1025" s="9" t="str">
        <v>Gladys Holloway</v>
      </c>
    </row>
    <row r="1026" spans="1:1">
      <c r="A1026" s="9" t="str">
        <v>Lawrence Hester</v>
      </c>
    </row>
    <row r="1027" spans="1:1">
      <c r="A1027" s="9" t="str">
        <v>Alexander O'Brien</v>
      </c>
    </row>
    <row r="1028" spans="1:1">
      <c r="A1028" s="9" t="str">
        <v>Wayne English</v>
      </c>
    </row>
    <row r="1029" spans="1:1">
      <c r="A1029" s="9" t="str">
        <v>Jay Hubbard</v>
      </c>
    </row>
    <row r="1030" spans="1:1">
      <c r="A1030" s="9" t="str">
        <v>Daniel Christian</v>
      </c>
    </row>
    <row r="1031" spans="1:1">
      <c r="A1031" s="9" t="str">
        <v>Jamie Manning</v>
      </c>
    </row>
    <row r="1032" spans="1:1">
      <c r="A1032" s="9" t="str">
        <v>Neil Barbee</v>
      </c>
    </row>
    <row r="1033" spans="1:1">
      <c r="A1033" s="9" t="str">
        <v>Guy McDonald</v>
      </c>
    </row>
    <row r="1034" spans="1:1">
      <c r="A1034" s="9" t="str">
        <v>Cathy Burgess</v>
      </c>
    </row>
    <row r="1035" spans="1:1">
      <c r="A1035" s="9" t="str">
        <v>Anita Kang</v>
      </c>
    </row>
    <row r="1036" spans="1:1">
      <c r="A1036" s="9" t="str">
        <v>Kristine Singleton</v>
      </c>
    </row>
    <row r="1037" spans="1:1">
      <c r="A1037" s="9" t="str">
        <v>Lee Hancock</v>
      </c>
    </row>
    <row r="1038" spans="1:1">
      <c r="A1038" s="9" t="str">
        <v>Alison Sharp</v>
      </c>
    </row>
    <row r="1039" spans="1:1">
      <c r="A1039" s="9" t="str">
        <v>Herbert Donnelly Swanson</v>
      </c>
    </row>
    <row r="1040" spans="1:1">
      <c r="A1040" s="9" t="str">
        <v>David Powell</v>
      </c>
    </row>
    <row r="1041" spans="1:1">
      <c r="A1041" s="9" t="str">
        <v>Jerome McIntosh</v>
      </c>
    </row>
    <row r="1042" spans="1:1">
      <c r="A1042" s="9" t="str">
        <v>Neil Song</v>
      </c>
    </row>
    <row r="1043" spans="1:1">
      <c r="A1043" s="9" t="str">
        <v>Maureen Stout</v>
      </c>
    </row>
    <row r="1044" spans="1:1">
      <c r="A1044" s="9" t="str">
        <v>Leroy Field</v>
      </c>
    </row>
    <row r="1045" spans="1:1">
      <c r="A1045" s="9" t="str">
        <v>Harriet Moore</v>
      </c>
    </row>
    <row r="1046" spans="1:1">
      <c r="A1046" s="9" t="str">
        <v>Glenda Hunter</v>
      </c>
    </row>
    <row r="1047" spans="1:1">
      <c r="A1047" s="9" t="str">
        <v>Faye Manning</v>
      </c>
    </row>
    <row r="1048" spans="1:1">
      <c r="A1048" s="9" t="str">
        <v>Julian Keith Mayer</v>
      </c>
    </row>
    <row r="1049" spans="1:1">
      <c r="A1049" s="9" t="str">
        <v>Ray Silverman</v>
      </c>
    </row>
    <row r="1050" spans="1:1">
      <c r="A1050" s="9" t="str">
        <v>Janice Boswell</v>
      </c>
    </row>
    <row r="1051" spans="1:1">
      <c r="A1051" s="9" t="str">
        <v>Lawrence Haas</v>
      </c>
    </row>
    <row r="1052" spans="1:1">
      <c r="A1052" s="9" t="str">
        <v>Jackie McCullough</v>
      </c>
    </row>
    <row r="1053" spans="1:1">
      <c r="A1053" s="9" t="str">
        <v>Laurie Petty</v>
      </c>
    </row>
    <row r="1054" spans="1:1">
      <c r="A1054" s="9" t="str">
        <v>Marie Pittman</v>
      </c>
    </row>
    <row r="1055" spans="1:1">
      <c r="A1055" s="9" t="str">
        <v>Sidney Gilliam</v>
      </c>
    </row>
    <row r="1056" spans="1:1">
      <c r="A1056" s="9" t="str">
        <v>Jenny Hawkins</v>
      </c>
    </row>
    <row r="1057" spans="1:1">
      <c r="A1057" s="9" t="str">
        <v>Angela Rose</v>
      </c>
    </row>
    <row r="1058" spans="1:1">
      <c r="A1058" s="9" t="str">
        <v>Rick Foster Hawkins</v>
      </c>
    </row>
    <row r="1059" spans="1:1">
      <c r="A1059" s="9" t="str">
        <v>Wallace Pugh</v>
      </c>
    </row>
    <row r="1060" spans="1:1">
      <c r="A1060" s="9" t="str">
        <v>Alvin Mullins</v>
      </c>
    </row>
    <row r="1061" spans="1:1">
      <c r="A1061" s="9" t="str">
        <v>Dana Rankin</v>
      </c>
    </row>
    <row r="1062" spans="1:1">
      <c r="A1062" s="9" t="str">
        <v>Elsie Floyd</v>
      </c>
    </row>
    <row r="1063" spans="1:1">
      <c r="A1063" s="9" t="str">
        <v>Jonathan Crabtree</v>
      </c>
    </row>
    <row r="1064" spans="1:1">
      <c r="A1064" s="9" t="str">
        <v>Sean Pugh</v>
      </c>
    </row>
    <row r="1065" spans="1:1">
      <c r="A1065" s="9" t="str">
        <v>Diane Lu</v>
      </c>
    </row>
    <row r="1066" spans="1:1">
      <c r="A1066" s="9" t="str">
        <v>Claudia White</v>
      </c>
    </row>
    <row r="1067" spans="1:1">
      <c r="A1067" s="9" t="str">
        <v>Robyn Crawford</v>
      </c>
    </row>
    <row r="1068" spans="1:1">
      <c r="A1068" s="9" t="str">
        <v>Arthur Gold</v>
      </c>
    </row>
    <row r="1069" spans="1:1">
      <c r="A1069" s="9" t="str">
        <v>Sharon Kessler</v>
      </c>
    </row>
    <row r="1070" spans="1:1">
      <c r="A1070" s="9" t="str">
        <v>Monica Stuart</v>
      </c>
    </row>
    <row r="1071" spans="1:1">
      <c r="A1071" s="9" t="str">
        <v>Kathleen P Bloom</v>
      </c>
    </row>
    <row r="1072" spans="1:1">
      <c r="A1072" s="9" t="str">
        <v>Marlene Phillips</v>
      </c>
    </row>
    <row r="1073" spans="1:1">
      <c r="A1073" s="9" t="str">
        <v>Wanda Harris</v>
      </c>
    </row>
    <row r="1074" spans="1:1">
      <c r="A1074" s="9" t="str">
        <v>Earl Donnelly</v>
      </c>
    </row>
    <row r="1075" spans="1:1">
      <c r="A1075" s="9" t="str">
        <v>Nicole Goldstein</v>
      </c>
    </row>
    <row r="1076" spans="1:1">
      <c r="A1076" s="9" t="str">
        <v>Peter Brooks</v>
      </c>
    </row>
    <row r="1077" spans="1:1">
      <c r="A1077" s="9" t="str">
        <v>Milton Harrell</v>
      </c>
    </row>
    <row r="1078" spans="1:1">
      <c r="A1078" s="9" t="str">
        <v>Maureen Whitley</v>
      </c>
    </row>
    <row r="1079" spans="1:1">
      <c r="A1079" s="9" t="str">
        <v>Sharon Marcus</v>
      </c>
    </row>
    <row r="1080" spans="1:1">
      <c r="A1080" s="9" t="str">
        <v>Gretchen Best Wilkins</v>
      </c>
    </row>
    <row r="1081" spans="1:1">
      <c r="A1081" s="9" t="str">
        <v>Steven Long</v>
      </c>
    </row>
    <row r="1082" spans="1:1">
      <c r="A1082" s="9" t="str">
        <v>Becky Puckett</v>
      </c>
    </row>
    <row r="1083" spans="1:1">
      <c r="A1083" s="9" t="str">
        <v>Edgar Kumar</v>
      </c>
    </row>
    <row r="1084" spans="1:1">
      <c r="A1084" s="9" t="str">
        <v>Billie Stern</v>
      </c>
    </row>
    <row r="1085" spans="1:1">
      <c r="A1085" s="9" t="str">
        <v>Tamara Dickinson</v>
      </c>
    </row>
    <row r="1086" spans="1:1">
      <c r="A1086" s="9" t="str">
        <v>Ricky Allred</v>
      </c>
    </row>
    <row r="1087" spans="1:1">
      <c r="A1087" s="9" t="str">
        <v>William Woodard</v>
      </c>
    </row>
    <row r="1088" spans="1:1">
      <c r="A1088" s="9" t="str">
        <v>Michael Shaffer</v>
      </c>
    </row>
    <row r="1089" spans="1:1">
      <c r="A1089" s="9" t="str">
        <v>Ricky Garner</v>
      </c>
    </row>
    <row r="1090" spans="1:1">
      <c r="A1090" s="9" t="str">
        <v>Mary Norman</v>
      </c>
    </row>
    <row r="1091" spans="1:1">
      <c r="A1091" s="9" t="str">
        <v>Carole Creech</v>
      </c>
    </row>
    <row r="1092" spans="1:1">
      <c r="A1092" s="9" t="str">
        <v>Claire Warren</v>
      </c>
    </row>
    <row r="1093" spans="1:1">
      <c r="A1093" s="9" t="str">
        <v>Edwin Blackburn</v>
      </c>
    </row>
    <row r="1094" spans="1:1">
      <c r="A1094" s="9" t="str">
        <v>Edwin Chung</v>
      </c>
    </row>
    <row r="1095" spans="1:1">
      <c r="A1095" s="9" t="str">
        <v>Tiffany Grossman Hardin</v>
      </c>
    </row>
    <row r="1096" spans="1:1">
      <c r="A1096" s="9" t="str">
        <v>Jackie Flynn</v>
      </c>
    </row>
    <row r="1097" spans="1:1">
      <c r="A1097" s="9" t="str">
        <v>Billy Hale</v>
      </c>
    </row>
    <row r="1098" spans="1:1">
      <c r="A1098" s="9" t="str">
        <v>Marlene Davidson</v>
      </c>
    </row>
    <row r="1099" spans="1:1">
      <c r="A1099" s="9" t="str">
        <v>Alicia Maynard</v>
      </c>
    </row>
    <row r="1100" spans="1:1">
      <c r="A1100" s="9" t="str">
        <v>Leslie Jacobson</v>
      </c>
    </row>
    <row r="1101" spans="1:1">
      <c r="A1101" s="9" t="str">
        <v>Diane Barr</v>
      </c>
    </row>
    <row r="1102" spans="1:1">
      <c r="A1102" s="9" t="str">
        <v>Bob Gibson</v>
      </c>
    </row>
    <row r="1103" spans="1:1">
      <c r="A1103" s="9" t="str">
        <v>Elisabeth Shaw</v>
      </c>
    </row>
    <row r="1104" spans="1:1">
      <c r="A1104" s="9" t="str">
        <v>Constance Robertson</v>
      </c>
    </row>
    <row r="1105" spans="1:1">
      <c r="A1105" s="9" t="str">
        <v>Lester Copeland</v>
      </c>
    </row>
    <row r="1106" spans="1:1">
      <c r="A1106" s="9" t="str">
        <v>Phillip Blum</v>
      </c>
    </row>
    <row r="1107" spans="1:1">
      <c r="A1107" s="9" t="str">
        <v>Paul Tate</v>
      </c>
    </row>
    <row r="1108" spans="1:1">
      <c r="A1108" s="9" t="str">
        <v>Jim Hinson</v>
      </c>
    </row>
    <row r="1109" spans="1:1">
      <c r="A1109" s="9" t="str">
        <v>Carrie McIntosh</v>
      </c>
    </row>
    <row r="1110" spans="1:1">
      <c r="A1110" s="9" t="str">
        <v>Amy York</v>
      </c>
    </row>
    <row r="1111" spans="1:1">
      <c r="A1111" s="9" t="str">
        <v>Nathan Wyatt</v>
      </c>
    </row>
    <row r="1112" spans="1:1">
      <c r="A1112" s="9" t="str">
        <v>Sara Faulkner</v>
      </c>
    </row>
    <row r="1113" spans="1:1">
      <c r="A1113" s="9" t="str">
        <v>Glenda Simon</v>
      </c>
    </row>
    <row r="1114" spans="1:1">
      <c r="A1114" s="9" t="str">
        <v>Richard Tan</v>
      </c>
    </row>
    <row r="1115" spans="1:1">
      <c r="A1115" s="9" t="str">
        <v>Jeffrey Cheng</v>
      </c>
    </row>
    <row r="1116" spans="1:1">
      <c r="A1116" s="9" t="str">
        <v>Daniel Huff</v>
      </c>
    </row>
    <row r="1117" spans="1:1">
      <c r="A1117" s="9" t="str">
        <v>Oscar Kenney</v>
      </c>
    </row>
    <row r="1118" spans="1:1">
      <c r="A1118" s="9" t="str">
        <v>Dana Boyle</v>
      </c>
    </row>
    <row r="1119" spans="1:1">
      <c r="A1119" s="9" t="str">
        <v>Renee McKenzie</v>
      </c>
    </row>
    <row r="1120" spans="1:1">
      <c r="A1120" s="9" t="str">
        <v>Stacy Byrne</v>
      </c>
    </row>
    <row r="1121" spans="1:1">
      <c r="A1121" s="9" t="str">
        <v>Jamie Ward</v>
      </c>
    </row>
    <row r="1122" spans="1:1">
      <c r="A1122" s="9" t="str">
        <v>Annette McIntyre</v>
      </c>
    </row>
    <row r="1123" spans="1:1">
      <c r="A1123" s="9" t="str">
        <v>Eva Decker</v>
      </c>
    </row>
    <row r="1124" spans="1:1">
      <c r="A1124" s="9" t="str">
        <v>Christopher Norton Patterson</v>
      </c>
    </row>
    <row r="1125" spans="1:1">
      <c r="A1125" s="9" t="str">
        <v>Daniel Richmond</v>
      </c>
    </row>
    <row r="1126" spans="1:1">
      <c r="A1126" s="9" t="str">
        <v>Carmen Elmore</v>
      </c>
    </row>
    <row r="1127" spans="1:1">
      <c r="A1127" s="9" t="str">
        <v>Aaron Shaffer</v>
      </c>
    </row>
    <row r="1128" spans="1:1">
      <c r="A1128" s="9" t="str">
        <v>Irene Murphy</v>
      </c>
    </row>
    <row r="1129" spans="1:1">
      <c r="A1129" s="9" t="str">
        <v>Andrea Shaw</v>
      </c>
    </row>
    <row r="1130" spans="1:1">
      <c r="A1130" s="9" t="str">
        <v>Marvin Reid</v>
      </c>
    </row>
    <row r="1131" spans="1:1">
      <c r="A1131" s="9" t="str">
        <v>Florence Gold</v>
      </c>
    </row>
    <row r="1132" spans="1:1">
      <c r="A1132" s="9" t="str">
        <v>Tammy Buckley</v>
      </c>
    </row>
    <row r="1133" spans="1:1">
      <c r="A1133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1150" workbookViewId="0">
      <selection activeCell="C1" sqref="C1"/>
    </sheetView>
  </sheetViews>
  <sheetFormatPr baseColWidth="10" defaultColWidth="8.796875" defaultRowHeight="13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baseColWidth="10" defaultColWidth="8.796875" defaultRowHeight="13"/>
  <cols>
    <col min="1" max="1" width="10.796875" bestFit="1" customWidth="1"/>
  </cols>
  <sheetData>
    <row r="1" spans="1:2">
      <c r="A1" s="2" t="s">
        <v>15</v>
      </c>
      <c r="B1" s="2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CEO Dashboard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2026-09-14T15:48:33Z</dcterms:modified>
  <cp:category/>
  <cp:contentStatus/>
</cp:coreProperties>
</file>